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ster\Documents\Project\견적서 자동화 프로젝트\기계사업부\template\"/>
    </mc:Choice>
  </mc:AlternateContent>
  <xr:revisionPtr revIDLastSave="0" documentId="13_ncr:1_{F2CBEF5A-2FFB-4C25-AB25-A992C2A25A97}" xr6:coauthVersionLast="47" xr6:coauthVersionMax="47" xr10:uidLastSave="{00000000-0000-0000-0000-000000000000}"/>
  <bookViews>
    <workbookView xWindow="28680" yWindow="-120" windowWidth="29040" windowHeight="15720" tabRatio="874" firstSheet="1" activeTab="1" xr2:uid="{00000000-000D-0000-FFFF-FFFF00000000}"/>
  </bookViews>
  <sheets>
    <sheet name="VXXXXX" sheetId="6" state="veryHidden" r:id="rId1"/>
    <sheet name="견적서" sheetId="45" r:id="rId2"/>
    <sheet name="산출내역" sheetId="38" r:id="rId3"/>
    <sheet name="수량산출기준" sheetId="39" r:id="rId4"/>
    <sheet name="수량조정계수" sheetId="41" r:id="rId5"/>
    <sheet name="조정계수표" sheetId="40" r:id="rId6"/>
  </sheets>
  <externalReferences>
    <externalReference r:id="rId7"/>
    <externalReference r:id="rId8"/>
    <externalReference r:id="rId9"/>
  </externalReferences>
  <definedNames>
    <definedName name="__123Graph_D" hidden="1">[1]FAB별!#REF!</definedName>
    <definedName name="_xlnm._FilterDatabase" hidden="1">#REF!</definedName>
    <definedName name="a">'[2]단가 및 재료비'!$AA$72</definedName>
    <definedName name="b">'[2]단가 및 재료비'!$S$170</definedName>
    <definedName name="_xlnm.Database">#REF!</definedName>
    <definedName name="KKK" hidden="1">{#N/A,#N/A,FALSE,"포장단가"}</definedName>
    <definedName name="p" localSheetId="4">#REF!</definedName>
    <definedName name="p">#REF!</definedName>
    <definedName name="PA" localSheetId="4">#REF!</definedName>
    <definedName name="PA">#REF!</definedName>
    <definedName name="PB" localSheetId="4">#REF!</definedName>
    <definedName name="PB">#REF!</definedName>
    <definedName name="PC" localSheetId="4">#REF!</definedName>
    <definedName name="PC">#REF!</definedName>
    <definedName name="PD" localSheetId="4">#REF!</definedName>
    <definedName name="PD">#REF!</definedName>
    <definedName name="_xlnm.Print_Area" localSheetId="2">산출내역!$A$1:$G$28</definedName>
    <definedName name="_xlnm.Print_Area" localSheetId="3">수량산출기준!$A$1:$E$28</definedName>
    <definedName name="_xlnm.Print_Area" localSheetId="4">수량조정계수!$A$1:$F$36</definedName>
    <definedName name="_xlnm.Print_Area" localSheetId="5">조정계수표!$A$1:$F$9</definedName>
    <definedName name="_xlnm.Recorder" localSheetId="4">#REF!</definedName>
    <definedName name="_xlnm.Recorder">#REF!</definedName>
    <definedName name="wrn.포장단가." hidden="1">{#N/A,#N/A,FALSE,"포장단가"}</definedName>
    <definedName name="각재">'[3]단가 및 재료비'!$S$171</definedName>
    <definedName name="견적서" localSheetId="4">#REF!</definedName>
    <definedName name="견적서">#REF!</definedName>
    <definedName name="계약보증금납부서" localSheetId="4">#REF!</definedName>
    <definedName name="계약보증금납부서">#REF!</definedName>
    <definedName name="계약서" localSheetId="4">#REF!</definedName>
    <definedName name="계약서">#REF!</definedName>
    <definedName name="공사원가" localSheetId="4">#REF!</definedName>
    <definedName name="공사원가">#REF!</definedName>
    <definedName name="공정표" localSheetId="4">#REF!</definedName>
    <definedName name="공정표">#REF!</definedName>
    <definedName name="규____격" localSheetId="4">#REF!</definedName>
    <definedName name="규____격">#REF!</definedName>
    <definedName name="내역서표지" localSheetId="4">#REF!</definedName>
    <definedName name="내역서표지">#REF!</definedName>
    <definedName name="내역표지" localSheetId="4">#REF!</definedName>
    <definedName name="내역표지">#REF!</definedName>
    <definedName name="단_위" localSheetId="4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 localSheetId="4">#REF!</definedName>
    <definedName name="ㄹ">#REF!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 localSheetId="4">#REF!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 localSheetId="4">#REF!</definedName>
    <definedName name="법원원천사">#REF!</definedName>
    <definedName name="보통인부">'[3]단가 및 재료비'!$AA$91</definedName>
    <definedName name="비_고" localSheetId="4">#REF!</definedName>
    <definedName name="비_고">#REF!</definedName>
    <definedName name="사용인감" localSheetId="4">#REF!</definedName>
    <definedName name="사용인감">#REF!</definedName>
    <definedName name="사용인감계" localSheetId="4">#REF!</definedName>
    <definedName name="사용인감계">#REF!</definedName>
    <definedName name="산__출__근__거" localSheetId="4">#REF!</definedName>
    <definedName name="산__출__근__거">#REF!</definedName>
    <definedName name="설계표지" localSheetId="4">#REF!</definedName>
    <definedName name="설계표지">#REF!</definedName>
    <definedName name="수_량" localSheetId="4">#REF!</definedName>
    <definedName name="수_량">#REF!</definedName>
    <definedName name="수량산출타이틀" localSheetId="4">#REF!</definedName>
    <definedName name="수량산출타이틀">#REF!</definedName>
    <definedName name="수량산출행" localSheetId="4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 localSheetId="4">#REF!</definedName>
    <definedName name="준공계">#REF!</definedName>
    <definedName name="중유">'[3]단가 및 재료비'!$U$34</definedName>
    <definedName name="진동로울러자주식4.4경비" localSheetId="4">[3]중기사용료산출근거!#REF!</definedName>
    <definedName name="진동로울러자주식4.4경비">[3]중기사용료산출근거!#REF!</definedName>
    <definedName name="진동로울러자주식4.4노무비" localSheetId="4">[3]중기사용료산출근거!#REF!</definedName>
    <definedName name="진동로울러자주식4.4노무비">[3]중기사용료산출근거!#REF!</definedName>
    <definedName name="진동로울러자주식4.4재료비" localSheetId="4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 localSheetId="4">#REF!</definedName>
    <definedName name="터파기기계0.4경비">#REF!</definedName>
    <definedName name="터파기기계0.4노무비" localSheetId="4">#REF!</definedName>
    <definedName name="터파기기계0.4노무비">#REF!</definedName>
    <definedName name="터파기기계0.4재료비" localSheetId="4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 localSheetId="4">#REF!</definedName>
    <definedName name="품_____명">#REF!</definedName>
    <definedName name="프라이드">'[3]단가 및 재료비'!$S$144</definedName>
    <definedName name="프로판가스">'[3]단가 및 재료비'!$S$145</definedName>
    <definedName name="하수암거" hidden="1">{#N/A,#N/A,FALSE,"포장단가"}</definedName>
    <definedName name="합판">'[3]단가 및 재료비'!$S$170</definedName>
    <definedName name="형틀목공">'[3]단가 및 재료비'!$AA$51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45" l="1"/>
  <c r="O21" i="45" s="1"/>
  <c r="E33" i="41"/>
  <c r="E31" i="41"/>
  <c r="D33" i="41"/>
  <c r="F5" i="38"/>
  <c r="E17" i="39" l="1"/>
  <c r="F8" i="38" l="1"/>
  <c r="F6" i="38"/>
  <c r="F7" i="38"/>
  <c r="E27" i="39" l="1"/>
  <c r="E24" i="39"/>
  <c r="E22" i="39"/>
  <c r="E21" i="39"/>
  <c r="E16" i="39"/>
  <c r="E14" i="39"/>
  <c r="E10" i="39"/>
  <c r="E9" i="39"/>
  <c r="E8" i="39"/>
  <c r="E7" i="39"/>
  <c r="E23" i="39" l="1"/>
  <c r="E20" i="39"/>
  <c r="E19" i="39"/>
  <c r="E18" i="39"/>
  <c r="E26" i="39"/>
  <c r="E25" i="39"/>
  <c r="F30" i="41" l="1"/>
  <c r="E30" i="41"/>
  <c r="D30" i="41"/>
  <c r="F19" i="38" l="1"/>
  <c r="F20" i="38"/>
  <c r="D4" i="41"/>
  <c r="D3" i="41"/>
  <c r="D29" i="41"/>
  <c r="D28" i="41"/>
  <c r="E27" i="41"/>
  <c r="E25" i="41"/>
  <c r="E12" i="39"/>
  <c r="E5" i="39"/>
  <c r="E4" i="39"/>
  <c r="E13" i="39"/>
  <c r="F26" i="41"/>
  <c r="C7" i="41" l="1"/>
  <c r="F7" i="41" s="1"/>
  <c r="F9" i="41"/>
  <c r="D12" i="41"/>
  <c r="D14" i="41"/>
  <c r="D15" i="41"/>
  <c r="E18" i="41"/>
  <c r="E7" i="41"/>
  <c r="E6" i="41"/>
  <c r="F18" i="38"/>
  <c r="F27" i="41"/>
  <c r="D27" i="41"/>
  <c r="E28" i="41"/>
  <c r="D24" i="41"/>
  <c r="E29" i="41"/>
  <c r="F21" i="41"/>
  <c r="F22" i="41"/>
  <c r="D20" i="41"/>
  <c r="E23" i="41"/>
  <c r="E19" i="41"/>
  <c r="F16" i="41"/>
  <c r="F29" i="41"/>
  <c r="E15" i="39"/>
  <c r="E6" i="39"/>
  <c r="D25" i="41"/>
  <c r="E3" i="39"/>
  <c r="E11" i="39"/>
  <c r="E26" i="41"/>
  <c r="D26" i="41"/>
  <c r="F28" i="41"/>
  <c r="F25" i="41"/>
  <c r="F21" i="38" l="1"/>
  <c r="D9" i="41"/>
  <c r="E9" i="41"/>
  <c r="F12" i="41"/>
  <c r="E12" i="41"/>
  <c r="F6" i="41"/>
  <c r="D6" i="41"/>
  <c r="D18" i="41"/>
  <c r="E15" i="41"/>
  <c r="F18" i="41"/>
  <c r="F15" i="41"/>
  <c r="D7" i="41"/>
  <c r="E14" i="41"/>
  <c r="E13" i="41"/>
  <c r="D17" i="41"/>
  <c r="F14" i="41"/>
  <c r="F11" i="41"/>
  <c r="E8" i="41"/>
  <c r="E5" i="41"/>
  <c r="F22" i="38"/>
  <c r="D19" i="41"/>
  <c r="E21" i="41"/>
  <c r="E22" i="41"/>
  <c r="D21" i="41"/>
  <c r="F23" i="41"/>
  <c r="F20" i="41"/>
  <c r="D23" i="41"/>
  <c r="F24" i="41"/>
  <c r="E24" i="41"/>
  <c r="E20" i="41"/>
  <c r="D22" i="41"/>
  <c r="F19" i="41"/>
  <c r="E16" i="41"/>
  <c r="D16" i="41"/>
  <c r="F10" i="41"/>
  <c r="D10" i="41"/>
  <c r="E10" i="41"/>
  <c r="D31" i="41" l="1"/>
  <c r="F23" i="38"/>
  <c r="F24" i="38" s="1"/>
  <c r="F26" i="38" s="1"/>
  <c r="D11" i="41"/>
  <c r="D13" i="41"/>
  <c r="F13" i="41"/>
  <c r="F8" i="41"/>
  <c r="F17" i="41"/>
  <c r="D8" i="41"/>
  <c r="E17" i="41"/>
  <c r="E11" i="41"/>
  <c r="E32" i="41" s="1"/>
  <c r="D5" i="41"/>
  <c r="F5" i="41"/>
  <c r="F31" i="41"/>
  <c r="D32" i="41" l="1"/>
  <c r="F32" i="41"/>
  <c r="G26" i="38"/>
  <c r="D35" i="41" l="1"/>
  <c r="F33" i="41"/>
  <c r="F35" i="41" s="1"/>
  <c r="E35" i="41"/>
  <c r="F9" i="38"/>
  <c r="D36" i="41" l="1"/>
  <c r="F10" i="38"/>
  <c r="F11" i="38" l="1"/>
  <c r="F12" i="38" s="1"/>
  <c r="F14" i="38" l="1"/>
  <c r="G14" i="38" l="1"/>
</calcChain>
</file>

<file path=xl/sharedStrings.xml><?xml version="1.0" encoding="utf-8"?>
<sst xmlns="http://schemas.openxmlformats.org/spreadsheetml/2006/main" count="314" uniqueCount="250">
  <si>
    <t>직접경비</t>
    <phoneticPr fontId="66" type="noConversion"/>
  </si>
  <si>
    <t>기 술 료</t>
    <phoneticPr fontId="66" type="noConversion"/>
  </si>
  <si>
    <t>특급기술자</t>
    <phoneticPr fontId="66" type="noConversion"/>
  </si>
  <si>
    <t>노임단가</t>
    <phoneticPr fontId="2" type="noConversion"/>
  </si>
  <si>
    <t>비 고</t>
    <phoneticPr fontId="2" type="noConversion"/>
  </si>
  <si>
    <t>직접인건비</t>
    <phoneticPr fontId="66" type="noConversion"/>
  </si>
  <si>
    <t>NO</t>
    <phoneticPr fontId="2" type="noConversion"/>
  </si>
  <si>
    <t>항 목</t>
    <phoneticPr fontId="66" type="noConversion"/>
  </si>
  <si>
    <t>조 정 금 액</t>
    <phoneticPr fontId="66" type="noConversion"/>
  </si>
  <si>
    <t>소  계</t>
    <phoneticPr fontId="66" type="noConversion"/>
  </si>
  <si>
    <t>1)</t>
    <phoneticPr fontId="2" type="noConversion"/>
  </si>
  <si>
    <t>2)</t>
    <phoneticPr fontId="2" type="noConversion"/>
  </si>
  <si>
    <t>3)</t>
    <phoneticPr fontId="2" type="noConversion"/>
  </si>
  <si>
    <t>4)</t>
    <phoneticPr fontId="2" type="noConversion"/>
  </si>
  <si>
    <t>5)</t>
    <phoneticPr fontId="2" type="noConversion"/>
  </si>
  <si>
    <t>6)</t>
    <phoneticPr fontId="2" type="noConversion"/>
  </si>
  <si>
    <t>고급기술자</t>
    <phoneticPr fontId="66" type="noConversion"/>
  </si>
  <si>
    <t>중급기술자</t>
    <phoneticPr fontId="66" type="noConversion"/>
  </si>
  <si>
    <t>제 경 비</t>
    <phoneticPr fontId="66" type="noConversion"/>
  </si>
  <si>
    <t>20~40%</t>
    <phoneticPr fontId="2" type="noConversion"/>
  </si>
  <si>
    <t>[별표1]성능점검대상 기계설비(제7조 제1항 관련)</t>
    <phoneticPr fontId="2" type="noConversion"/>
  </si>
  <si>
    <t>냉동기</t>
    <phoneticPr fontId="2" type="noConversion"/>
  </si>
  <si>
    <t>냉각탑</t>
    <phoneticPr fontId="2" type="noConversion"/>
  </si>
  <si>
    <t>보일러</t>
    <phoneticPr fontId="2" type="noConversion"/>
  </si>
  <si>
    <t>열교환기</t>
    <phoneticPr fontId="2" type="noConversion"/>
  </si>
  <si>
    <t>팽창탱크</t>
    <phoneticPr fontId="2" type="noConversion"/>
  </si>
  <si>
    <t>패키지 에어컨</t>
    <phoneticPr fontId="2" type="noConversion"/>
  </si>
  <si>
    <t>항온항습기</t>
    <phoneticPr fontId="2" type="noConversion"/>
  </si>
  <si>
    <t>공기조화기</t>
    <phoneticPr fontId="2" type="noConversion"/>
  </si>
  <si>
    <t>팬코일 유닛</t>
    <phoneticPr fontId="2" type="noConversion"/>
  </si>
  <si>
    <t>환기설비</t>
    <phoneticPr fontId="2" type="noConversion"/>
  </si>
  <si>
    <t>필터</t>
    <phoneticPr fontId="2" type="noConversion"/>
  </si>
  <si>
    <t>위생기구설비</t>
    <phoneticPr fontId="2" type="noConversion"/>
  </si>
  <si>
    <t>고·저수조</t>
    <phoneticPr fontId="2" type="noConversion"/>
  </si>
  <si>
    <t>오수정화설비</t>
    <phoneticPr fontId="2" type="noConversion"/>
  </si>
  <si>
    <t>물 재이용설비</t>
    <phoneticPr fontId="2" type="noConversion"/>
  </si>
  <si>
    <t>자동제어설비</t>
    <phoneticPr fontId="2" type="noConversion"/>
  </si>
  <si>
    <t>열원 및 냉난방설비</t>
    <phoneticPr fontId="2" type="noConversion"/>
  </si>
  <si>
    <t>공기조화설비</t>
    <phoneticPr fontId="2" type="noConversion"/>
  </si>
  <si>
    <t>급수·급탕설비</t>
    <phoneticPr fontId="2" type="noConversion"/>
  </si>
  <si>
    <t>오·배수 통기 및 우수배수시설</t>
    <phoneticPr fontId="2" type="noConversion"/>
  </si>
  <si>
    <t>오수정화 및
물재이용설비</t>
    <phoneticPr fontId="2" type="noConversion"/>
  </si>
  <si>
    <t>배관설비</t>
    <phoneticPr fontId="2" type="noConversion"/>
  </si>
  <si>
    <t>덕트설비</t>
    <phoneticPr fontId="2" type="noConversion"/>
  </si>
  <si>
    <t>보온설비</t>
    <phoneticPr fontId="2" type="noConversion"/>
  </si>
  <si>
    <t>방음·방진·내진 설비</t>
    <phoneticPr fontId="2" type="noConversion"/>
  </si>
  <si>
    <t>펌프</t>
    <phoneticPr fontId="2" type="noConversion"/>
  </si>
  <si>
    <t>신재생에너지</t>
    <phoneticPr fontId="2" type="noConversion"/>
  </si>
  <si>
    <t>점검대상 기계설비</t>
    <phoneticPr fontId="2" type="noConversion"/>
  </si>
  <si>
    <t>산출 기준</t>
    <phoneticPr fontId="2" type="noConversion"/>
  </si>
  <si>
    <t>산출 점검수량</t>
    <phoneticPr fontId="2" type="noConversion"/>
  </si>
  <si>
    <t>1) 관리주체는 점검대상 기계설비 외에 추가로 점검이 필요한 기계설비가 있는경우 해당 기계설비의종류, 세부항목, 점검 방법 및 점검 주기 등을 포함하여 성능점검 계획을 수립할 수 있다.</t>
    <phoneticPr fontId="2" type="noConversion"/>
  </si>
  <si>
    <t>특급</t>
    <phoneticPr fontId="2" type="noConversion"/>
  </si>
  <si>
    <t>고급</t>
    <phoneticPr fontId="2" type="noConversion"/>
  </si>
  <si>
    <t>중급</t>
    <phoneticPr fontId="2" type="noConversion"/>
  </si>
  <si>
    <t>계획검토</t>
    <phoneticPr fontId="2" type="noConversion"/>
  </si>
  <si>
    <t>시스템검토</t>
    <phoneticPr fontId="2" type="noConversion"/>
  </si>
  <si>
    <t>보고서작성</t>
    <phoneticPr fontId="2" type="noConversion"/>
  </si>
  <si>
    <t>조정계수(연면적,세대수)</t>
    <phoneticPr fontId="2" type="noConversion"/>
  </si>
  <si>
    <t>경과년수</t>
    <phoneticPr fontId="2" type="noConversion"/>
  </si>
  <si>
    <t>투입인원</t>
    <phoneticPr fontId="2" type="noConversion"/>
  </si>
  <si>
    <t>표2. 연면적,세대수,경화년수에 따른 조정계수</t>
    <phoneticPr fontId="2" type="noConversion"/>
  </si>
  <si>
    <t>연면적에 따른 조정</t>
    <phoneticPr fontId="2" type="noConversion"/>
  </si>
  <si>
    <t>세대수(공동주택)에 따른 조정</t>
    <phoneticPr fontId="2" type="noConversion"/>
  </si>
  <si>
    <t>기계설비 경과년수에 따른 조정</t>
    <phoneticPr fontId="2" type="noConversion"/>
  </si>
  <si>
    <t>연면적(㎡)</t>
    <phoneticPr fontId="2" type="noConversion"/>
  </si>
  <si>
    <t>조정계수</t>
    <phoneticPr fontId="2" type="noConversion"/>
  </si>
  <si>
    <t>세대수</t>
    <phoneticPr fontId="2" type="noConversion"/>
  </si>
  <si>
    <t>경과년수</t>
    <phoneticPr fontId="2" type="noConversion"/>
  </si>
  <si>
    <t>10,000~15,000</t>
    <phoneticPr fontId="2" type="noConversion"/>
  </si>
  <si>
    <t>15,000~30,000</t>
    <phoneticPr fontId="2" type="noConversion"/>
  </si>
  <si>
    <t>30,000~60,000</t>
    <phoneticPr fontId="2" type="noConversion"/>
  </si>
  <si>
    <t>60,000~100,000</t>
    <phoneticPr fontId="2" type="noConversion"/>
  </si>
  <si>
    <t>100000~</t>
    <phoneticPr fontId="2" type="noConversion"/>
  </si>
  <si>
    <t>300세대~500세대
(중앙집중식 난방방식)</t>
    <phoneticPr fontId="2" type="noConversion"/>
  </si>
  <si>
    <t>1,000세대~2,000세대</t>
    <phoneticPr fontId="2" type="noConversion"/>
  </si>
  <si>
    <t>500세대~1,000세대</t>
    <phoneticPr fontId="2" type="noConversion"/>
  </si>
  <si>
    <t>2,000세대~3,000세대</t>
    <phoneticPr fontId="2" type="noConversion"/>
  </si>
  <si>
    <t>3,000세대</t>
    <phoneticPr fontId="2" type="noConversion"/>
  </si>
  <si>
    <t>5년 이내</t>
    <phoneticPr fontId="2" type="noConversion"/>
  </si>
  <si>
    <t>5년 초과 10년 이내</t>
    <phoneticPr fontId="2" type="noConversion"/>
  </si>
  <si>
    <t>10년 초과 15년 이내</t>
    <phoneticPr fontId="2" type="noConversion"/>
  </si>
  <si>
    <t>15년 초과 20년 이내</t>
    <phoneticPr fontId="2" type="noConversion"/>
  </si>
  <si>
    <t>20년 초과 25년 이내</t>
    <phoneticPr fontId="2" type="noConversion"/>
  </si>
  <si>
    <t>25년 초과</t>
    <phoneticPr fontId="2" type="noConversion"/>
  </si>
  <si>
    <t>110~120%</t>
    <phoneticPr fontId="2" type="noConversion"/>
  </si>
  <si>
    <t>축열조</t>
    <phoneticPr fontId="2" type="noConversion"/>
  </si>
  <si>
    <t>급수·급탕설비</t>
    <phoneticPr fontId="2" type="noConversion"/>
  </si>
  <si>
    <t>-</t>
  </si>
  <si>
    <t xml:space="preserve"> 점 검 수 수 료 산 출 내 역 </t>
    <phoneticPr fontId="66" type="noConversion"/>
  </si>
  <si>
    <t>오·배수 통기 및 우수배수시설</t>
    <phoneticPr fontId="2" type="noConversion"/>
  </si>
  <si>
    <t>급수펌프, 급탕탱크</t>
    <phoneticPr fontId="2" type="noConversion"/>
  </si>
  <si>
    <t>전체 수량</t>
  </si>
  <si>
    <t>전체 수량의 50% 이상</t>
  </si>
  <si>
    <t>전체 수량의 20% 이상</t>
  </si>
  <si>
    <t>전체수량의 20% 이상</t>
  </si>
  <si>
    <t>산출
점검수량</t>
    <phoneticPr fontId="2" type="noConversion"/>
  </si>
  <si>
    <t>실제
수량</t>
    <phoneticPr fontId="2" type="noConversion"/>
  </si>
  <si>
    <t>식</t>
    <phoneticPr fontId="2" type="noConversion"/>
  </si>
  <si>
    <t>냉동기(헤더포함)</t>
    <phoneticPr fontId="2" type="noConversion"/>
  </si>
  <si>
    <t>종  목</t>
    <phoneticPr fontId="95" type="noConversion"/>
  </si>
  <si>
    <t>일금</t>
    <phoneticPr fontId="95" type="noConversion"/>
  </si>
  <si>
    <t>원정</t>
    <phoneticPr fontId="95" type="noConversion"/>
  </si>
  <si>
    <t>(</t>
    <phoneticPr fontId="95" type="noConversion"/>
  </si>
  <si>
    <t>구  분</t>
    <phoneticPr fontId="95" type="noConversion"/>
  </si>
  <si>
    <t>금   액</t>
    <phoneticPr fontId="95" type="noConversion"/>
  </si>
  <si>
    <t>• 기계설비 유지관리기준 제11조 1-4항(성능점검 및 보고서 작성 용역)</t>
  </si>
  <si>
    <t>상     호</t>
    <phoneticPr fontId="95" type="noConversion"/>
  </si>
  <si>
    <t>㈜에이스방재</t>
    <phoneticPr fontId="95" type="noConversion"/>
  </si>
  <si>
    <t>대   표</t>
    <phoneticPr fontId="95" type="noConversion"/>
  </si>
  <si>
    <t>전지혜</t>
    <phoneticPr fontId="95" type="noConversion"/>
  </si>
  <si>
    <t xml:space="preserve">견 적 명 : </t>
    <phoneticPr fontId="95" type="noConversion"/>
  </si>
  <si>
    <t>소 재 지</t>
    <phoneticPr fontId="95" type="noConversion"/>
  </si>
  <si>
    <t>업    태</t>
    <phoneticPr fontId="95" type="noConversion"/>
  </si>
  <si>
    <t>서비스업</t>
    <phoneticPr fontId="95" type="noConversion"/>
  </si>
  <si>
    <t>공
급
자</t>
    <phoneticPr fontId="95" type="noConversion"/>
  </si>
  <si>
    <t>사업자번호</t>
    <phoneticPr fontId="95" type="noConversion"/>
  </si>
  <si>
    <t>기계설비 성능점검 용역</t>
    <phoneticPr fontId="95" type="noConversion"/>
  </si>
  <si>
    <t>기계설비 성능점검 외</t>
    <phoneticPr fontId="95" type="noConversion"/>
  </si>
  <si>
    <t xml:space="preserve"> </t>
    <phoneticPr fontId="95" type="noConversion"/>
  </si>
  <si>
    <t>)</t>
    <phoneticPr fontId="95" type="noConversion"/>
  </si>
  <si>
    <t>No.</t>
    <phoneticPr fontId="95" type="noConversion"/>
  </si>
  <si>
    <t>단   위</t>
    <phoneticPr fontId="95" type="noConversion"/>
  </si>
  <si>
    <t>수   량</t>
    <phoneticPr fontId="95" type="noConversion"/>
  </si>
  <si>
    <t>식</t>
    <phoneticPr fontId="95" type="noConversion"/>
  </si>
  <si>
    <t>합 계</t>
    <phoneticPr fontId="95" type="noConversion"/>
  </si>
  <si>
    <t>기계설비 성능점검</t>
    <phoneticPr fontId="95" type="noConversion"/>
  </si>
  <si>
    <t>NO</t>
    <phoneticPr fontId="2" type="noConversion"/>
  </si>
  <si>
    <t>항 목</t>
    <phoneticPr fontId="66" type="noConversion"/>
  </si>
  <si>
    <t>수  량</t>
    <phoneticPr fontId="2" type="noConversion"/>
  </si>
  <si>
    <t>노임단가</t>
    <phoneticPr fontId="2" type="noConversion"/>
  </si>
  <si>
    <t>직접인건비</t>
    <phoneticPr fontId="2" type="noConversion"/>
  </si>
  <si>
    <t>중급기술자</t>
    <phoneticPr fontId="66" type="noConversion"/>
  </si>
  <si>
    <t>2)</t>
    <phoneticPr fontId="2" type="noConversion"/>
  </si>
  <si>
    <t>직접경비</t>
    <phoneticPr fontId="66" type="noConversion"/>
  </si>
  <si>
    <t>기 술 료</t>
    <phoneticPr fontId="66" type="noConversion"/>
  </si>
  <si>
    <t>6)</t>
    <phoneticPr fontId="2" type="noConversion"/>
  </si>
  <si>
    <t>조 정 금 액</t>
    <phoneticPr fontId="66" type="noConversion"/>
  </si>
  <si>
    <t>비 고</t>
    <phoneticPr fontId="95" type="noConversion"/>
  </si>
  <si>
    <t>5 5 0 - 8 6 - 0 1 9 7 8</t>
    <phoneticPr fontId="2" type="noConversion"/>
  </si>
  <si>
    <t>견      적      서</t>
    <phoneticPr fontId="2" type="noConversion"/>
  </si>
  <si>
    <t>금   액 (원)</t>
    <phoneticPr fontId="2" type="noConversion"/>
  </si>
  <si>
    <t>수  량</t>
    <phoneticPr fontId="2" type="noConversion"/>
  </si>
  <si>
    <t>단  위</t>
    <phoneticPr fontId="2" type="noConversion"/>
  </si>
  <si>
    <t>인</t>
    <phoneticPr fontId="2" type="noConversion"/>
  </si>
  <si>
    <t>인</t>
    <phoneticPr fontId="2" type="noConversion"/>
  </si>
  <si>
    <t>식</t>
    <phoneticPr fontId="2" type="noConversion"/>
  </si>
  <si>
    <t>식</t>
    <phoneticPr fontId="2" type="noConversion"/>
  </si>
  <si>
    <t xml:space="preserve"> 직접인건비의</t>
    <phoneticPr fontId="2" type="noConversion"/>
  </si>
  <si>
    <t>단  위</t>
    <phoneticPr fontId="2" type="noConversion"/>
  </si>
  <si>
    <t>1. 성 능 점 검</t>
    <phoneticPr fontId="2" type="noConversion"/>
  </si>
  <si>
    <t xml:space="preserve">고 객 명 : </t>
    <phoneticPr fontId="95" type="noConversion"/>
  </si>
  <si>
    <t xml:space="preserve">일     자 : </t>
    <phoneticPr fontId="2" type="noConversion"/>
  </si>
  <si>
    <t>인원 할인 적용</t>
    <phoneticPr fontId="2" type="noConversion"/>
  </si>
  <si>
    <t>원</t>
    <phoneticPr fontId="2" type="noConversion"/>
  </si>
  <si>
    <t>단 가 (A)</t>
    <phoneticPr fontId="2" type="noConversion"/>
  </si>
  <si>
    <t>금 액 (B)</t>
    <phoneticPr fontId="2" type="noConversion"/>
  </si>
  <si>
    <t>1. 견 적 산 출 조 건</t>
    <phoneticPr fontId="95" type="noConversion"/>
  </si>
  <si>
    <t>인건비
(정부고시에 의거)</t>
    <phoneticPr fontId="2" type="noConversion"/>
  </si>
  <si>
    <t>경기도 용인시 기흥구 죽현로8-22 휴먼타워305호</t>
    <phoneticPr fontId="95" type="noConversion"/>
  </si>
  <si>
    <t>(기계설비성능점검업 등록번호 경기 제12호)</t>
    <phoneticPr fontId="2" type="noConversion"/>
  </si>
  <si>
    <t xml:space="preserve">견적유효기간 : </t>
    <phoneticPr fontId="95" type="noConversion"/>
  </si>
  <si>
    <t>60일</t>
    <phoneticPr fontId="2" type="noConversion"/>
  </si>
  <si>
    <t xml:space="preserve"> </t>
    <phoneticPr fontId="95" type="noConversion"/>
  </si>
  <si>
    <t>담 당 자</t>
    <phoneticPr fontId="95" type="noConversion"/>
  </si>
  <si>
    <t xml:space="preserve"> 직접인건비의</t>
    <phoneticPr fontId="2" type="noConversion"/>
  </si>
  <si>
    <t xml:space="preserve"> 직접인건비의</t>
  </si>
  <si>
    <t>인</t>
  </si>
  <si>
    <t>2. 유 지 점 검</t>
    <phoneticPr fontId="2" type="noConversion"/>
  </si>
  <si>
    <t>• 법적 점검 기한 : 2023년 04월 17일</t>
    <phoneticPr fontId="95" type="noConversion"/>
  </si>
  <si>
    <t>(B) 합 계</t>
    <phoneticPr fontId="2" type="noConversion"/>
  </si>
  <si>
    <t>(기계설비사업부)</t>
    <phoneticPr fontId="2" type="noConversion"/>
  </si>
  <si>
    <t xml:space="preserve"> 직접인건비+제경비</t>
    <phoneticPr fontId="66" type="noConversion"/>
  </si>
  <si>
    <t xml:space="preserve"> 직접인건비+제경비</t>
    <phoneticPr fontId="2" type="noConversion"/>
  </si>
  <si>
    <t>• 성능점검 시 협의 내용 외 추가 발생시 별도의 금액이 발생 될 수 있습니다.</t>
    <phoneticPr fontId="2" type="noConversion"/>
  </si>
  <si>
    <t>합계금액</t>
    <phoneticPr fontId="95" type="noConversion"/>
  </si>
  <si>
    <t>기계설비 유지관리점검</t>
    <phoneticPr fontId="2" type="noConversion"/>
  </si>
  <si>
    <t>회</t>
    <phoneticPr fontId="2" type="noConversion"/>
  </si>
  <si>
    <t>유지관리자선임(비상주)</t>
    <phoneticPr fontId="2" type="noConversion"/>
  </si>
  <si>
    <t>개월</t>
    <phoneticPr fontId="2" type="noConversion"/>
  </si>
  <si>
    <t>최종 견적금액 [년]</t>
    <phoneticPr fontId="95" type="noConversion"/>
  </si>
  <si>
    <t>월 견적금액 [12개월 분할 결재 시]</t>
    <phoneticPr fontId="95" type="noConversion"/>
  </si>
  <si>
    <t>결제 방식은
협의 가능</t>
    <phoneticPr fontId="2" type="noConversion"/>
  </si>
  <si>
    <t>{고객명}</t>
  </si>
  <si>
    <t>{견적일}</t>
    <phoneticPr fontId="95" type="noConversion"/>
  </si>
  <si>
    <t>{도로명 주소}</t>
    <phoneticPr fontId="95" type="noConversion"/>
  </si>
  <si>
    <t>{사용승인일}</t>
    <phoneticPr fontId="95" type="noConversion"/>
  </si>
  <si>
    <t>{주용도}</t>
    <phoneticPr fontId="95" type="noConversion"/>
  </si>
  <si>
    <t>{성능_수량}</t>
    <phoneticPr fontId="95" type="noConversion"/>
  </si>
  <si>
    <t>{유지_수량}</t>
    <phoneticPr fontId="95" type="noConversion"/>
  </si>
  <si>
    <t>{위탁선임_수량}</t>
    <phoneticPr fontId="95" type="noConversion"/>
  </si>
  <si>
    <t>{성능_금액}</t>
    <phoneticPr fontId="95" type="noConversion"/>
  </si>
  <si>
    <t>{유지_금액}</t>
    <phoneticPr fontId="95" type="noConversion"/>
  </si>
  <si>
    <t>{위탁선임_금액}</t>
    <phoneticPr fontId="95" type="noConversion"/>
  </si>
  <si>
    <t>{합계_금액}</t>
    <phoneticPr fontId="95" type="noConversion"/>
  </si>
  <si>
    <t>{합계_금액_부가세}</t>
    <phoneticPr fontId="95" type="noConversion"/>
  </si>
  <si>
    <t>{월분할_금액}</t>
    <phoneticPr fontId="95" type="noConversion"/>
  </si>
  <si>
    <t>(기계설비성능점검업/기계설비유지관리점검대행/정보통신설비성능점검/정보통신설비유지관리자위탁선임/소방안전관리업무대행업/종합정밀,
작동기능점검전문/소방시설공사/전기안전관리대행/전기직무고시/긴급전기사고복구공사/전기안전관리상주대행기관/위험물안전관리대행기관)</t>
    <phoneticPr fontId="95" type="noConversion"/>
  </si>
  <si>
    <t>{영업_담당자}</t>
    <phoneticPr fontId="95" type="noConversion"/>
  </si>
  <si>
    <t>대표번호</t>
  </si>
  <si>
    <t>전화번호</t>
  </si>
  <si>
    <t>031-8009-0084</t>
    <phoneticPr fontId="95" type="noConversion"/>
  </si>
  <si>
    <t>{영업_담당자_연락처}</t>
    <phoneticPr fontId="95" type="noConversion"/>
  </si>
  <si>
    <t>{거래처_담당자_성함} + {거래처_담당자_직급} + "님"</t>
    <phoneticPr fontId="95" type="noConversion"/>
  </si>
  <si>
    <t>연락처</t>
  </si>
  <si>
    <t>{점검항목}</t>
    <phoneticPr fontId="95" type="noConversion"/>
  </si>
  <si>
    <t>{거래처_담당자_연락처}</t>
    <phoneticPr fontId="95" type="noConversion"/>
  </si>
  <si>
    <t>{특급_노임단가)</t>
    <phoneticPr fontId="2" type="noConversion"/>
  </si>
  <si>
    <t>{고급_노임단가)</t>
    <phoneticPr fontId="2" type="noConversion"/>
  </si>
  <si>
    <t>{중급_노임단가)</t>
    <phoneticPr fontId="2" type="noConversion"/>
  </si>
  <si>
    <t>{특급_인원}</t>
    <phoneticPr fontId="2" type="noConversion"/>
  </si>
  <si>
    <t>{중급_인원}</t>
    <phoneticPr fontId="2" type="noConversion"/>
  </si>
  <si>
    <t>{고급_인원}</t>
    <phoneticPr fontId="2" type="noConversion"/>
  </si>
  <si>
    <t>{냉각탑}</t>
  </si>
  <si>
    <t>{보일러}</t>
  </si>
  <si>
    <t>{열교환기}</t>
  </si>
  <si>
    <t>{팽창탱크}</t>
  </si>
  <si>
    <t>{펌프}</t>
  </si>
  <si>
    <t>{신재생에너지}</t>
  </si>
  <si>
    <t>{패키지 에어컨}</t>
  </si>
  <si>
    <t>{항온항습기}</t>
  </si>
  <si>
    <t>{공기조화기}</t>
  </si>
  <si>
    <t>{팬코일 유닛}</t>
  </si>
  <si>
    <t>{환기설비}</t>
  </si>
  <si>
    <t>{필터}</t>
  </si>
  <si>
    <t>{위생기구설비}</t>
  </si>
  <si>
    <t>{급수펌프, 급탕탱크}</t>
  </si>
  <si>
    <t>{고·저수조}</t>
  </si>
  <si>
    <t>{오·배수 통기 및 우수배수시설}</t>
  </si>
  <si>
    <t>{오수정화설비}</t>
  </si>
  <si>
    <t>{물 재이용설비}</t>
  </si>
  <si>
    <t>{배관설비}</t>
  </si>
  <si>
    <t>{덕트설비}</t>
  </si>
  <si>
    <t>{보온설비}</t>
  </si>
  <si>
    <t>{자동제어설비}</t>
  </si>
  <si>
    <t>{방음·방진·내진 설비}</t>
  </si>
  <si>
    <t>{냉동기(헤더포함)}</t>
    <phoneticPr fontId="2" type="noConversion"/>
  </si>
  <si>
    <t>{연면적값} or {세대수값}</t>
    <phoneticPr fontId="95" type="noConversion"/>
  </si>
  <si>
    <t>{㎡} or {세대}</t>
    <phoneticPr fontId="95" type="noConversion"/>
  </si>
  <si>
    <t>{연면적} or {세대 수}</t>
    <phoneticPr fontId="95" type="noConversion"/>
  </si>
  <si>
    <r>
      <t>{축</t>
    </r>
    <r>
      <rPr>
        <sz val="11"/>
        <rFont val="굴림"/>
        <family val="1"/>
        <charset val="129"/>
      </rPr>
      <t>열조</t>
    </r>
    <r>
      <rPr>
        <sz val="11"/>
        <rFont val="나눔명조"/>
        <family val="1"/>
        <charset val="129"/>
      </rPr>
      <t>}</t>
    </r>
    <phoneticPr fontId="2" type="noConversion"/>
  </si>
  <si>
    <r>
      <t>축열</t>
    </r>
    <r>
      <rPr>
        <sz val="11"/>
        <rFont val="굴림"/>
        <family val="1"/>
        <charset val="129"/>
      </rPr>
      <t>조</t>
    </r>
    <phoneticPr fontId="2" type="noConversion"/>
  </si>
  <si>
    <t>1.  대    상    물</t>
  </si>
  <si>
    <t>2.  주          소</t>
  </si>
  <si>
    <t>3.  사 용 승 인 일</t>
  </si>
  <si>
    <t>4.  건  물  개  요</t>
  </si>
  <si>
    <t>5.  담    당    자</t>
  </si>
  <si>
    <t>6.  점  검  항  목</t>
  </si>
  <si>
    <t xml:space="preserve"> {부가세_정보}</t>
    <phoneticPr fontId="2" type="noConversion"/>
  </si>
  <si>
    <r>
      <t xml:space="preserve">• </t>
    </r>
    <r>
      <rPr>
        <b/>
        <sz val="14"/>
        <rFont val="Harmony L"/>
        <family val="3"/>
        <charset val="129"/>
      </rPr>
      <t>유지관리기준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성능점검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대가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의거</t>
    </r>
    <r>
      <rPr>
        <b/>
        <sz val="14"/>
        <rFont val="Harmony m"/>
        <family val="2"/>
      </rPr>
      <t xml:space="preserve"> (</t>
    </r>
    <r>
      <rPr>
        <b/>
        <sz val="14"/>
        <rFont val="Harmony L"/>
        <family val="3"/>
        <charset val="129"/>
      </rPr>
      <t>관리주체의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요구로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업무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범위가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또는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변경이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경우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대가를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다시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할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수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있음</t>
    </r>
    <r>
      <rPr>
        <b/>
        <sz val="14"/>
        <rFont val="Harmony m"/>
        <family val="2"/>
      </rPr>
      <t>)</t>
    </r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</si>
</sst>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,##0_);[Red]\(#,##0\)"/>
    <numFmt numFmtId="179" formatCode="#,##0.00_);[Red]\(#,##0.00\)"/>
    <numFmt numFmtId="180" formatCode="[DBNum4][$-412]General"/>
    <numFmt numFmtId="181" formatCode="yyyy&quot;년&quot;\ m&quot;월&quot;\ d&quot;일&quot;;@"/>
    <numFmt numFmtId="182" formatCode="_(* #,##0_);_(* \(#,##0\);_(* &quot;-&quot;_);_(@_)"/>
    <numFmt numFmtId="183" formatCode="0.000"/>
    <numFmt numFmtId="184" formatCode="&quot;₩&quot;\ \ #,##0\ &quot;원정&quot;;\-&quot;₩&quot;#,##0"/>
    <numFmt numFmtId="185" formatCode="0.000000"/>
    <numFmt numFmtId="186" formatCode="_ &quot;₩&quot;* #,##0_ ;_ &quot;₩&quot;* \-#,##0_ ;_ &quot;₩&quot;* &quot;-&quot;_ ;_ @_ "/>
    <numFmt numFmtId="187" formatCode="_ &quot;₩&quot;* #,##0.00_ ;_ &quot;₩&quot;* \-#,##0.00_ ;_ &quot;₩&quot;* &quot;-&quot;??_ ;_ @_ "/>
    <numFmt numFmtId="188" formatCode="&quot;$&quot;#,##0.00;\-&quot;$&quot;#,##0.00"/>
    <numFmt numFmtId="189" formatCode="_(&quot;$&quot;* #,##0.00_);_(&quot;$&quot;* &quot;₩&quot;&quot;₩&quot;&quot;₩&quot;&quot;₩&quot;&quot;₩&quot;\(#,##0.00&quot;₩&quot;&quot;₩&quot;&quot;₩&quot;&quot;₩&quot;&quot;₩&quot;\);_(&quot;$&quot;* &quot;-&quot;??_);_(@_)"/>
    <numFmt numFmtId="190" formatCode="\$#.00"/>
    <numFmt numFmtId="191" formatCode="0%;[Red]\ \ &quot;-&quot;0%"/>
    <numFmt numFmtId="192" formatCode="&quot;₩&quot;#,##0.00;&quot;₩&quot;&quot;₩&quot;\-#,##0.00"/>
    <numFmt numFmtId="193" formatCode="m\o\n\th\ d\,\ yyyy"/>
    <numFmt numFmtId="194" formatCode="#,##0.000;[Red]&quot;-&quot;#,##0.000"/>
    <numFmt numFmtId="195" formatCode="_-&quot;?* #,##0.00_-;&quot;\&quot;&quot;₩&quot;&quot;₩&quot;&quot;₩&quot;\-&quot;?* #,##0.00_-;_-&quot;&quot;?&quot;* &quot;-&quot;??_-;_-@_-"/>
    <numFmt numFmtId="196" formatCode="#.00"/>
    <numFmt numFmtId="197" formatCode="#.#"/>
    <numFmt numFmtId="198" formatCode="#."/>
    <numFmt numFmtId="199" formatCode="#.##"/>
    <numFmt numFmtId="200" formatCode="General_)"/>
    <numFmt numFmtId="201" formatCode="#,##0&quot; $&quot;;\-#,##0&quot; $&quot;"/>
    <numFmt numFmtId="202" formatCode="%#.00"/>
    <numFmt numFmtId="203" formatCode="#,##0.0;[Red]&quot;-&quot;#,##0.0"/>
    <numFmt numFmtId="204" formatCode="0.0_)"/>
    <numFmt numFmtId="205" formatCode="\(&quot;₩&quot;#,##0\);[Red]\(\-&quot;₩&quot;#,##0\)"/>
    <numFmt numFmtId="206" formatCode="\(&quot;₩&quot;#,##0\);[Red]\(&quot;△&quot;&quot;₩&quot;#,##0\)"/>
    <numFmt numFmtId="207" formatCode="@\ &quot;주임&quot;"/>
    <numFmt numFmtId="208" formatCode="#,##0&quot;칸&quot;"/>
    <numFmt numFmtId="209" formatCode="#,##0;[Red]&quot;-&quot;#,##0"/>
    <numFmt numFmtId="210" formatCode="#,##0;&quot;-&quot;#,##0"/>
    <numFmt numFmtId="211" formatCode="000.000"/>
    <numFmt numFmtId="212" formatCode="_ * #,##0.0000_ ;_ * \-#,##0.0000_ ;_ * &quot;-&quot;_ ;_ @_ "/>
    <numFmt numFmtId="213" formatCode="0.00_ "/>
    <numFmt numFmtId="214" formatCode="#,##0\ ;[Red]&quot;-&quot;#,##0\ "/>
    <numFmt numFmtId="215" formatCode="* #,##0\ ;[Red]* &quot;-&quot;#,##0\ "/>
    <numFmt numFmtId="216" formatCode="#,##0.####;[Red]&quot;-&quot;#,##0.####"/>
    <numFmt numFmtId="217" formatCode="#,##0.0###\ ;[Red]&quot;-&quot;#,##0.0###\ "/>
    <numFmt numFmtId="218" formatCode="&quot;₩&quot;#,##0.00\ ;\(&quot;₩&quot;#,##0.00\)"/>
    <numFmt numFmtId="219" formatCode="&quot;₩&quot;#,##0;&quot;₩&quot;\-#,##0"/>
    <numFmt numFmtId="220" formatCode="0.0%"/>
    <numFmt numFmtId="221" formatCode="000\-000"/>
    <numFmt numFmtId="222" formatCode="0.00_)"/>
    <numFmt numFmtId="223" formatCode="_ * #,##0_ ;_ * &quot;₩&quot;&quot;₩&quot;&quot;₩&quot;&quot;₩&quot;&quot;₩&quot;&quot;₩&quot;\-#,##0_ ;_ * &quot;-&quot;_ ;_ @_ "/>
    <numFmt numFmtId="224" formatCode="#,##0.00;[Red]&quot;-&quot;#,##0.00"/>
    <numFmt numFmtId="225" formatCode="&quot;₩&quot;#,##0;[Red]&quot;₩&quot;\-#,##0"/>
    <numFmt numFmtId="226" formatCode="&quot;₩&quot;#,##0;[Red]&quot;₩&quot;&quot;₩&quot;\!\-#,##0"/>
    <numFmt numFmtId="227" formatCode="&quot;₩&quot;#,##0;&quot;₩&quot;&quot;₩&quot;&quot;₩&quot;&quot;₩&quot;&quot;₩&quot;&quot;₩&quot;&quot;₩&quot;&quot;₩&quot;\-#,##0"/>
    <numFmt numFmtId="228" formatCode="_ * #,##0.00_ ;_ * &quot;₩&quot;&quot;₩&quot;&quot;₩&quot;&quot;₩&quot;&quot;₩&quot;&quot;₩&quot;&quot;₩&quot;&quot;₩&quot;&quot;₩&quot;&quot;₩&quot;\-#,##0.00_ ;_ * &quot;-&quot;??_ ;_ @_ "/>
    <numFmt numFmtId="229" formatCode="#,###.0"/>
    <numFmt numFmtId="230" formatCode="\▼\ #,##0"/>
    <numFmt numFmtId="231" formatCode="#,##0_ "/>
    <numFmt numFmtId="232" formatCode="#,###\ &quot;m3&quot;"/>
    <numFmt numFmtId="233" formatCode="_-* #,##0_-;\-* #,##0_-;_-* &quot;-&quot;??_-;_-@_-"/>
    <numFmt numFmtId="234" formatCode="_-* #,##0.00_-;\-* #,##0.00_-;_-* &quot;-&quot;_-;_-@_-"/>
  </numFmts>
  <fonts count="15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Times New Roman"/>
      <family val="1"/>
    </font>
    <font>
      <b/>
      <sz val="12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Arial"/>
      <family val="2"/>
    </font>
    <font>
      <sz val="9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</font>
    <font>
      <sz val="12"/>
      <name val="Tms Rmn"/>
      <family val="1"/>
    </font>
    <font>
      <sz val="8"/>
      <name val="¹UAAA¼"/>
      <family val="1"/>
    </font>
    <font>
      <sz val="10"/>
      <name val="한양중고딕"/>
      <family val="1"/>
      <charset val="129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b/>
      <i/>
      <sz val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1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7"/>
      <name val="*세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12"/>
      <name val="¹UAAA¼"/>
      <family val="3"/>
    </font>
    <font>
      <b/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¾©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2"/>
      <name val="뼻뮝"/>
      <family val="1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나눔명조"/>
      <family val="1"/>
      <charset val="129"/>
    </font>
    <font>
      <b/>
      <sz val="12"/>
      <name val="나눔명조"/>
      <family val="1"/>
      <charset val="129"/>
    </font>
    <font>
      <b/>
      <sz val="14"/>
      <name val="나눔명조"/>
      <family val="1"/>
      <charset val="129"/>
    </font>
    <font>
      <b/>
      <sz val="22"/>
      <color theme="1"/>
      <name val="나눔명조"/>
      <family val="1"/>
      <charset val="129"/>
    </font>
    <font>
      <b/>
      <sz val="14"/>
      <color theme="1"/>
      <name val="나눔명조"/>
      <family val="1"/>
      <charset val="129"/>
    </font>
    <font>
      <b/>
      <sz val="10"/>
      <color theme="1"/>
      <name val="나눔명조"/>
      <family val="1"/>
      <charset val="129"/>
    </font>
    <font>
      <sz val="10"/>
      <color theme="1"/>
      <name val="나눔명조"/>
      <family val="1"/>
      <charset val="129"/>
    </font>
    <font>
      <sz val="10"/>
      <color theme="0"/>
      <name val="나눔명조"/>
      <family val="1"/>
      <charset val="129"/>
    </font>
    <font>
      <sz val="10"/>
      <name val="나눔명조"/>
      <family val="1"/>
      <charset val="129"/>
    </font>
    <font>
      <b/>
      <sz val="10"/>
      <name val="나눔명조"/>
      <family val="1"/>
      <charset val="129"/>
    </font>
    <font>
      <b/>
      <sz val="10"/>
      <color rgb="FFFF0000"/>
      <name val="나눔명조"/>
      <family val="1"/>
      <charset val="129"/>
    </font>
    <font>
      <b/>
      <sz val="11"/>
      <name val="나눔명조"/>
      <family val="1"/>
      <charset val="129"/>
    </font>
    <font>
      <sz val="14"/>
      <color rgb="FFFF0000"/>
      <name val="나눔명조"/>
      <family val="1"/>
      <charset val="129"/>
    </font>
    <font>
      <b/>
      <sz val="12"/>
      <color rgb="FF0000FF"/>
      <name val="나눔명조"/>
      <family val="1"/>
      <charset val="129"/>
    </font>
    <font>
      <b/>
      <sz val="13"/>
      <color rgb="FF0000FF"/>
      <name val="나눔명조"/>
      <family val="1"/>
      <charset val="129"/>
    </font>
    <font>
      <b/>
      <sz val="15"/>
      <color theme="0"/>
      <name val="Harmony L"/>
      <family val="3"/>
      <charset val="129"/>
    </font>
    <font>
      <b/>
      <sz val="14"/>
      <color theme="3"/>
      <name val="Harmony L"/>
      <family val="3"/>
      <charset val="129"/>
    </font>
    <font>
      <b/>
      <sz val="12"/>
      <color theme="0" tint="-0.499984740745262"/>
      <name val="Harmony L"/>
      <family val="3"/>
      <charset val="129"/>
    </font>
    <font>
      <sz val="11"/>
      <color indexed="8"/>
      <name val="Harmony L"/>
      <family val="3"/>
      <charset val="129"/>
    </font>
    <font>
      <b/>
      <sz val="13"/>
      <color indexed="8"/>
      <name val="Harmony L"/>
      <family val="3"/>
      <charset val="129"/>
    </font>
    <font>
      <b/>
      <sz val="15"/>
      <color indexed="8"/>
      <name val="Harmony L"/>
      <family val="3"/>
      <charset val="129"/>
    </font>
    <font>
      <b/>
      <sz val="15"/>
      <color theme="1"/>
      <name val="Harmony L"/>
      <family val="3"/>
      <charset val="129"/>
    </font>
    <font>
      <b/>
      <sz val="14"/>
      <color indexed="8"/>
      <name val="Harmony L"/>
      <family val="3"/>
      <charset val="129"/>
    </font>
    <font>
      <sz val="10"/>
      <color theme="1"/>
      <name val="굴림"/>
      <family val="1"/>
      <charset val="129"/>
    </font>
    <font>
      <sz val="10"/>
      <name val="굴림"/>
      <family val="1"/>
      <charset val="129"/>
    </font>
    <font>
      <sz val="11"/>
      <name val="굴림"/>
      <family val="1"/>
      <charset val="129"/>
    </font>
    <font>
      <b/>
      <sz val="15"/>
      <color rgb="FF000000"/>
      <name val="Harmony L"/>
      <family val="3"/>
      <charset val="129"/>
    </font>
    <font>
      <sz val="11"/>
      <name val="Harmony L"/>
      <family val="3"/>
      <charset val="129"/>
    </font>
    <font>
      <sz val="13"/>
      <color indexed="8"/>
      <name val="Harmony L"/>
      <family val="3"/>
      <charset val="129"/>
    </font>
    <font>
      <b/>
      <sz val="15"/>
      <color theme="0" tint="-4.9989318521683403E-2"/>
      <name val="휴먼엑스포"/>
      <family val="1"/>
      <charset val="129"/>
    </font>
    <font>
      <b/>
      <sz val="38"/>
      <color indexed="8"/>
      <name val="Harmony L"/>
      <family val="3"/>
      <charset val="129"/>
    </font>
    <font>
      <b/>
      <sz val="14"/>
      <color theme="0" tint="-0.499984740745262"/>
      <name val="Harmony L"/>
      <family val="3"/>
      <charset val="129"/>
    </font>
    <font>
      <b/>
      <sz val="15"/>
      <color rgb="FF0000FF"/>
      <name val="Harmony L"/>
      <family val="3"/>
      <charset val="129"/>
    </font>
    <font>
      <b/>
      <sz val="36"/>
      <color indexed="8"/>
      <name val="Harmony L"/>
      <family val="3"/>
      <charset val="129"/>
    </font>
    <font>
      <b/>
      <sz val="26"/>
      <color indexed="8"/>
      <name val="Harmony L"/>
      <family val="3"/>
      <charset val="129"/>
    </font>
    <font>
      <b/>
      <sz val="11"/>
      <color indexed="8"/>
      <name val="Harmony L"/>
      <family val="3"/>
      <charset val="129"/>
    </font>
    <font>
      <b/>
      <sz val="14"/>
      <color rgb="FF0000CC"/>
      <name val="Harmony L"/>
      <family val="3"/>
      <charset val="129"/>
    </font>
    <font>
      <sz val="15"/>
      <color indexed="8"/>
      <name val="Harmony L"/>
      <family val="3"/>
      <charset val="129"/>
    </font>
    <font>
      <b/>
      <i/>
      <u/>
      <sz val="16"/>
      <color theme="1"/>
      <name val="Harmony L"/>
      <family val="3"/>
      <charset val="129"/>
    </font>
    <font>
      <b/>
      <i/>
      <sz val="15"/>
      <color theme="1"/>
      <name val="Harmony L"/>
      <family val="3"/>
      <charset val="129"/>
    </font>
    <font>
      <b/>
      <sz val="12"/>
      <color indexed="8"/>
      <name val="Harmony L"/>
      <family val="3"/>
      <charset val="129"/>
    </font>
    <font>
      <b/>
      <sz val="16"/>
      <color indexed="8"/>
      <name val="Harmony L"/>
      <family val="3"/>
      <charset val="129"/>
    </font>
    <font>
      <sz val="14"/>
      <color indexed="8"/>
      <name val="Harmony L"/>
      <family val="3"/>
      <charset val="129"/>
    </font>
    <font>
      <sz val="12"/>
      <color indexed="8"/>
      <name val="Harmony L"/>
      <family val="3"/>
      <charset val="129"/>
    </font>
    <font>
      <sz val="12"/>
      <color rgb="FFFF0000"/>
      <name val="Harmony L"/>
      <family val="3"/>
      <charset val="129"/>
    </font>
    <font>
      <b/>
      <sz val="14"/>
      <color rgb="FFFF0000"/>
      <name val="Harmony L"/>
      <family val="3"/>
      <charset val="129"/>
    </font>
    <font>
      <sz val="14"/>
      <color rgb="FFFF0000"/>
      <name val="Harmony L"/>
      <family val="3"/>
      <charset val="129"/>
    </font>
    <font>
      <sz val="12"/>
      <name val="Harmony L"/>
      <family val="3"/>
      <charset val="129"/>
    </font>
    <font>
      <b/>
      <sz val="14"/>
      <name val="Harmony L"/>
      <family val="3"/>
      <charset val="129"/>
    </font>
    <font>
      <sz val="14"/>
      <name val="Harmony L"/>
      <family val="3"/>
      <charset val="129"/>
    </font>
    <font>
      <b/>
      <sz val="13"/>
      <name val="Harmony L"/>
      <family val="3"/>
      <charset val="129"/>
    </font>
    <font>
      <b/>
      <sz val="12"/>
      <name val="Harmony L"/>
      <family val="3"/>
      <charset val="129"/>
    </font>
    <font>
      <b/>
      <sz val="16"/>
      <color theme="0" tint="-4.9989318521683403E-2"/>
      <name val="휴먼엑스포"/>
      <family val="1"/>
      <charset val="129"/>
    </font>
    <font>
      <b/>
      <sz val="14"/>
      <name val="Harmony m"/>
    </font>
    <font>
      <b/>
      <sz val="14"/>
      <name val="Harmony m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/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hair">
        <color indexed="8"/>
      </top>
      <bottom style="hair">
        <color indexed="8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theme="0" tint="-0.499984740745262"/>
      </left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hair">
        <color indexed="8"/>
      </right>
      <top/>
      <bottom style="medium">
        <color indexed="64"/>
      </bottom>
      <diagonal/>
    </border>
    <border>
      <left/>
      <right style="hair">
        <color theme="0" tint="-0.499984740745262"/>
      </right>
      <top style="hair">
        <color indexed="8"/>
      </top>
      <bottom/>
      <diagonal/>
    </border>
    <border>
      <left style="hair">
        <color indexed="8"/>
      </left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469">
    <xf numFmtId="0" fontId="0" fillId="0" borderId="0"/>
    <xf numFmtId="0" fontId="15" fillId="0" borderId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6" fillId="0" borderId="1">
      <alignment horizontal="center"/>
    </xf>
    <xf numFmtId="3" fontId="8" fillId="0" borderId="2"/>
    <xf numFmtId="24" fontId="16" fillId="0" borderId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7" fillId="0" borderId="0"/>
    <xf numFmtId="0" fontId="7" fillId="0" borderId="0"/>
    <xf numFmtId="0" fontId="10" fillId="0" borderId="0"/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10" fillId="0" borderId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0" fontId="17" fillId="0" borderId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7" fillId="0" borderId="0"/>
    <xf numFmtId="0" fontId="10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1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8" fillId="0" borderId="0"/>
    <xf numFmtId="3" fontId="8" fillId="0" borderId="2"/>
    <xf numFmtId="3" fontId="8" fillId="0" borderId="2"/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1" fillId="0" borderId="0"/>
    <xf numFmtId="0" fontId="20" fillId="0" borderId="0">
      <alignment horizontal="center" vertical="center"/>
    </xf>
    <xf numFmtId="0" fontId="20" fillId="0" borderId="0">
      <alignment horizontal="center" vertical="center"/>
    </xf>
    <xf numFmtId="41" fontId="7" fillId="0" borderId="0">
      <alignment horizontal="center" vertical="center"/>
    </xf>
    <xf numFmtId="182" fontId="7" fillId="0" borderId="0">
      <alignment horizontal="center" vertical="center"/>
    </xf>
    <xf numFmtId="41" fontId="7" fillId="0" borderId="0">
      <alignment horizontal="center" vertical="center"/>
    </xf>
    <xf numFmtId="41" fontId="7" fillId="0" borderId="0">
      <alignment horizontal="center" vertical="center"/>
    </xf>
    <xf numFmtId="183" fontId="22" fillId="0" borderId="0">
      <alignment horizontal="center" vertical="center"/>
    </xf>
    <xf numFmtId="182" fontId="7" fillId="0" borderId="0">
      <alignment horizontal="center" vertical="center"/>
    </xf>
    <xf numFmtId="41" fontId="7" fillId="0" borderId="0">
      <alignment horizontal="center" vertical="center"/>
    </xf>
    <xf numFmtId="0" fontId="21" fillId="0" borderId="0"/>
    <xf numFmtId="0" fontId="21" fillId="0" borderId="0"/>
    <xf numFmtId="0" fontId="20" fillId="0" borderId="0">
      <alignment horizontal="center"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0" fontId="21" fillId="0" borderId="0"/>
    <xf numFmtId="0" fontId="10" fillId="0" borderId="0" applyNumberFormat="0" applyFill="0" applyBorder="0" applyAlignment="0" applyProtection="0"/>
    <xf numFmtId="184" fontId="5" fillId="0" borderId="0">
      <protection locked="0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0" fontId="69" fillId="2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9" fontId="7" fillId="0" borderId="0">
      <protection locked="0"/>
    </xf>
    <xf numFmtId="0" fontId="70" fillId="16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184" fontId="5" fillId="0" borderId="0">
      <protection locked="0"/>
    </xf>
    <xf numFmtId="0" fontId="23" fillId="0" borderId="0"/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209" fontId="16" fillId="0" borderId="0" applyFont="0" applyFill="0" applyBorder="0" applyAlignment="0" applyProtection="0"/>
    <xf numFmtId="43" fontId="89" fillId="0" borderId="0" applyFont="0" applyFill="0" applyBorder="0" applyAlignment="0" applyProtection="0"/>
    <xf numFmtId="224" fontId="16" fillId="0" borderId="0" applyFont="0" applyFill="0" applyBorder="0" applyAlignment="0" applyProtection="0"/>
    <xf numFmtId="0" fontId="89" fillId="0" borderId="0" applyFont="0" applyFill="0" applyBorder="0" applyAlignment="0" applyProtection="0"/>
    <xf numFmtId="184" fontId="5" fillId="0" borderId="0">
      <protection locked="0"/>
    </xf>
    <xf numFmtId="184" fontId="5" fillId="0" borderId="0">
      <protection locked="0"/>
    </xf>
    <xf numFmtId="0" fontId="5" fillId="0" borderId="0">
      <protection locked="0"/>
    </xf>
    <xf numFmtId="186" fontId="25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79" fontId="7" fillId="0" borderId="0">
      <protection locked="0"/>
    </xf>
    <xf numFmtId="187" fontId="25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84" fontId="5" fillId="0" borderId="0">
      <protection locked="0"/>
    </xf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6" fillId="0" borderId="0"/>
    <xf numFmtId="184" fontId="5" fillId="0" borderId="0">
      <protection locked="0"/>
    </xf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58" fontId="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4" fontId="5" fillId="0" borderId="0">
      <protection locked="0"/>
    </xf>
    <xf numFmtId="0" fontId="10" fillId="0" borderId="0" applyFont="0" applyFill="0" applyBorder="0" applyAlignment="0" applyProtection="0"/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0" fontId="16" fillId="0" borderId="0"/>
    <xf numFmtId="0" fontId="93" fillId="0" borderId="0"/>
    <xf numFmtId="0" fontId="28" fillId="0" borderId="0"/>
    <xf numFmtId="0" fontId="26" fillId="0" borderId="0"/>
    <xf numFmtId="0" fontId="25" fillId="0" borderId="0"/>
    <xf numFmtId="0" fontId="26" fillId="0" borderId="0"/>
    <xf numFmtId="0" fontId="93" fillId="0" borderId="0" applyNumberFormat="0"/>
    <xf numFmtId="0" fontId="92" fillId="0" borderId="0"/>
    <xf numFmtId="0" fontId="91" fillId="0" borderId="0"/>
    <xf numFmtId="0" fontId="92" fillId="0" borderId="0"/>
    <xf numFmtId="0" fontId="10" fillId="0" borderId="0"/>
    <xf numFmtId="188" fontId="5" fillId="0" borderId="0" applyFill="0" applyBorder="0" applyAlignment="0"/>
    <xf numFmtId="0" fontId="9" fillId="0" borderId="0"/>
    <xf numFmtId="184" fontId="5" fillId="0" borderId="0">
      <protection locked="0"/>
    </xf>
    <xf numFmtId="3" fontId="29" fillId="0" borderId="0">
      <alignment horizontal="center"/>
    </xf>
    <xf numFmtId="4" fontId="30" fillId="0" borderId="0">
      <protection locked="0"/>
    </xf>
    <xf numFmtId="182" fontId="23" fillId="0" borderId="0" applyFont="0" applyFill="0" applyBorder="0" applyAlignment="0" applyProtection="0"/>
    <xf numFmtId="40" fontId="16" fillId="0" borderId="0" applyFont="0" applyFill="0" applyBorder="0" applyAlignment="0" applyProtection="0"/>
    <xf numFmtId="189" fontId="7" fillId="0" borderId="0"/>
    <xf numFmtId="177" fontId="10" fillId="0" borderId="0" applyFont="0" applyFill="0" applyBorder="0" applyAlignment="0" applyProtection="0"/>
    <xf numFmtId="222" fontId="5" fillId="0" borderId="0">
      <protection locked="0"/>
    </xf>
    <xf numFmtId="40" fontId="16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17" fillId="0" borderId="0" applyFont="0" applyFill="0" applyBorder="0" applyAlignment="0" applyProtection="0"/>
    <xf numFmtId="190" fontId="30" fillId="0" borderId="0">
      <protection locked="0"/>
    </xf>
    <xf numFmtId="0" fontId="23" fillId="0" borderId="0" applyFont="0" applyFill="0" applyBorder="0" applyAlignment="0" applyProtection="0"/>
    <xf numFmtId="191" fontId="7" fillId="0" borderId="0">
      <protection locked="0"/>
    </xf>
    <xf numFmtId="191" fontId="7" fillId="0" borderId="0">
      <protection locked="0"/>
    </xf>
    <xf numFmtId="191" fontId="7" fillId="0" borderId="0">
      <protection locked="0"/>
    </xf>
    <xf numFmtId="191" fontId="7" fillId="0" borderId="0">
      <protection locked="0"/>
    </xf>
    <xf numFmtId="177" fontId="17" fillId="0" borderId="0">
      <protection locked="0"/>
    </xf>
    <xf numFmtId="192" fontId="5" fillId="0" borderId="0" applyFont="0" applyFill="0" applyBorder="0" applyAlignment="0" applyProtection="0"/>
    <xf numFmtId="222" fontId="5" fillId="0" borderId="0">
      <protection locked="0"/>
    </xf>
    <xf numFmtId="0" fontId="3" fillId="0" borderId="0"/>
    <xf numFmtId="193" fontId="30" fillId="0" borderId="0">
      <protection locked="0"/>
    </xf>
    <xf numFmtId="194" fontId="7" fillId="0" borderId="0">
      <protection locked="0"/>
    </xf>
    <xf numFmtId="222" fontId="5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5" fontId="7" fillId="0" borderId="0"/>
    <xf numFmtId="0" fontId="32" fillId="0" borderId="0" applyNumberFormat="0" applyAlignment="0">
      <alignment horizontal="left"/>
    </xf>
    <xf numFmtId="0" fontId="30" fillId="0" borderId="0">
      <protection locked="0"/>
    </xf>
    <xf numFmtId="0" fontId="30" fillId="0" borderId="0">
      <protection locked="0"/>
    </xf>
    <xf numFmtId="0" fontId="33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3" fillId="0" borderId="0">
      <protection locked="0"/>
    </xf>
    <xf numFmtId="196" fontId="30" fillId="0" borderId="0">
      <protection locked="0"/>
    </xf>
    <xf numFmtId="197" fontId="7" fillId="0" borderId="0">
      <protection locked="0"/>
    </xf>
    <xf numFmtId="222" fontId="5" fillId="0" borderId="0">
      <protection locked="0"/>
    </xf>
    <xf numFmtId="0" fontId="34" fillId="0" borderId="0" applyNumberFormat="0" applyFill="0" applyBorder="0" applyAlignment="0" applyProtection="0"/>
    <xf numFmtId="38" fontId="11" fillId="19" borderId="0" applyNumberFormat="0" applyBorder="0" applyAlignment="0" applyProtection="0"/>
    <xf numFmtId="38" fontId="11" fillId="20" borderId="0" applyNumberFormat="0" applyBorder="0" applyAlignment="0" applyProtection="0"/>
    <xf numFmtId="3" fontId="15" fillId="0" borderId="4">
      <alignment horizontal="right" vertical="center"/>
    </xf>
    <xf numFmtId="4" fontId="15" fillId="0" borderId="4">
      <alignment horizontal="right" vertical="center"/>
    </xf>
    <xf numFmtId="0" fontId="12" fillId="0" borderId="0">
      <alignment horizontal="left"/>
    </xf>
    <xf numFmtId="0" fontId="13" fillId="0" borderId="5" applyNumberFormat="0" applyAlignment="0" applyProtection="0">
      <alignment horizontal="left" vertical="center"/>
    </xf>
    <xf numFmtId="0" fontId="13" fillId="0" borderId="6">
      <alignment horizontal="left" vertical="center"/>
    </xf>
    <xf numFmtId="222" fontId="5" fillId="0" borderId="0">
      <protection locked="0"/>
    </xf>
    <xf numFmtId="222" fontId="5" fillId="0" borderId="0">
      <protection locked="0"/>
    </xf>
    <xf numFmtId="198" fontId="35" fillId="0" borderId="0">
      <protection locked="0"/>
    </xf>
    <xf numFmtId="199" fontId="7" fillId="0" borderId="0">
      <protection locked="0"/>
    </xf>
    <xf numFmtId="0" fontId="35" fillId="0" borderId="0">
      <protection locked="0"/>
    </xf>
    <xf numFmtId="198" fontId="35" fillId="0" borderId="0">
      <protection locked="0"/>
    </xf>
    <xf numFmtId="199" fontId="7" fillId="0" borderId="0">
      <protection locked="0"/>
    </xf>
    <xf numFmtId="0" fontId="35" fillId="0" borderId="0">
      <protection locked="0"/>
    </xf>
    <xf numFmtId="0" fontId="10" fillId="0" borderId="0">
      <protection locked="0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0" fontId="11" fillId="19" borderId="2" applyNumberFormat="0" applyBorder="0" applyAlignment="0" applyProtection="0"/>
    <xf numFmtId="10" fontId="11" fillId="21" borderId="2" applyNumberFormat="0" applyBorder="0" applyAlignment="0" applyProtection="0"/>
    <xf numFmtId="200" fontId="38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14" fillId="0" borderId="7"/>
    <xf numFmtId="0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0" fontId="10" fillId="0" borderId="0"/>
    <xf numFmtId="37" fontId="39" fillId="0" borderId="0"/>
    <xf numFmtId="0" fontId="7" fillId="0" borderId="0"/>
    <xf numFmtId="201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" fillId="0" borderId="0"/>
    <xf numFmtId="0" fontId="16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202" fontId="30" fillId="0" borderId="0">
      <protection locked="0"/>
    </xf>
    <xf numFmtId="10" fontId="10" fillId="0" borderId="0" applyFont="0" applyFill="0" applyBorder="0" applyAlignment="0" applyProtection="0"/>
    <xf numFmtId="203" fontId="7" fillId="0" borderId="0">
      <protection locked="0"/>
    </xf>
    <xf numFmtId="203" fontId="7" fillId="0" borderId="0">
      <protection locked="0"/>
    </xf>
    <xf numFmtId="203" fontId="7" fillId="0" borderId="0">
      <protection locked="0"/>
    </xf>
    <xf numFmtId="203" fontId="7" fillId="0" borderId="0">
      <protection locked="0"/>
    </xf>
    <xf numFmtId="229" fontId="17" fillId="0" borderId="0">
      <protection locked="0"/>
    </xf>
    <xf numFmtId="9" fontId="10" fillId="0" borderId="0" applyFont="0" applyFill="0" applyProtection="0"/>
    <xf numFmtId="30" fontId="41" fillId="0" borderId="0" applyNumberFormat="0" applyFill="0" applyBorder="0" applyAlignment="0" applyProtection="0">
      <alignment horizontal="left"/>
    </xf>
    <xf numFmtId="226" fontId="50" fillId="0" borderId="0">
      <alignment horizontal="center"/>
    </xf>
    <xf numFmtId="0" fontId="14" fillId="0" borderId="0"/>
    <xf numFmtId="40" fontId="42" fillId="0" borderId="0" applyBorder="0">
      <alignment horizontal="right"/>
    </xf>
    <xf numFmtId="204" fontId="43" fillId="0" borderId="0">
      <alignment horizontal="center"/>
    </xf>
    <xf numFmtId="0" fontId="44" fillId="0" borderId="0" applyFill="0" applyBorder="0" applyProtection="0">
      <alignment horizontal="centerContinuous" vertical="center"/>
    </xf>
    <xf numFmtId="0" fontId="21" fillId="19" borderId="0" applyFill="0" applyBorder="0" applyProtection="0">
      <alignment horizontal="center" vertical="center"/>
    </xf>
    <xf numFmtId="198" fontId="30" fillId="0" borderId="8">
      <protection locked="0"/>
    </xf>
    <xf numFmtId="199" fontId="7" fillId="0" borderId="8">
      <protection locked="0"/>
    </xf>
    <xf numFmtId="222" fontId="5" fillId="0" borderId="9">
      <protection locked="0"/>
    </xf>
    <xf numFmtId="0" fontId="45" fillId="0" borderId="10">
      <alignment horizontal="left"/>
    </xf>
    <xf numFmtId="37" fontId="11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>
      <protection locked="0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9" borderId="11" applyNumberFormat="0" applyAlignment="0" applyProtection="0">
      <alignment vertical="center"/>
    </xf>
    <xf numFmtId="2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Border="0" applyAlignment="0"/>
    <xf numFmtId="0" fontId="50" fillId="0" borderId="12" applyBorder="0" applyAlignment="0">
      <alignment horizontal="center"/>
    </xf>
    <xf numFmtId="0" fontId="50" fillId="0" borderId="13"/>
    <xf numFmtId="0" fontId="51" fillId="0" borderId="0"/>
    <xf numFmtId="176" fontId="7" fillId="0" borderId="0" applyFont="0" applyFill="0" applyBorder="0" applyAlignment="0" applyProtection="0"/>
    <xf numFmtId="41" fontId="52" fillId="0" borderId="14">
      <alignment horizontal="center" vertical="center"/>
    </xf>
    <xf numFmtId="0" fontId="5" fillId="0" borderId="0">
      <protection locked="0"/>
    </xf>
    <xf numFmtId="0" fontId="73" fillId="4" borderId="0" applyNumberFormat="0" applyBorder="0" applyAlignment="0" applyProtection="0">
      <alignment vertical="center"/>
    </xf>
    <xf numFmtId="0" fontId="47" fillId="0" borderId="0" applyFont="0" applyFill="0" applyBorder="0" applyAlignment="0" applyProtection="0"/>
    <xf numFmtId="3" fontId="16" fillId="0" borderId="15">
      <alignment horizontal="center"/>
    </xf>
    <xf numFmtId="0" fontId="29" fillId="0" borderId="0" applyFont="0" applyAlignment="0">
      <alignment horizontal="left"/>
    </xf>
    <xf numFmtId="0" fontId="47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5" borderId="16" applyNumberFormat="0" applyFont="0" applyAlignment="0" applyProtection="0">
      <alignment vertical="center"/>
    </xf>
    <xf numFmtId="0" fontId="5" fillId="5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53" fillId="0" borderId="2" applyNumberFormat="0" applyFont="0" applyFill="0" applyBorder="0" applyProtection="0">
      <alignment horizontal="distributed" vertical="center"/>
    </xf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9" fontId="20" fillId="19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0" fontId="55" fillId="0" borderId="0"/>
    <xf numFmtId="0" fontId="74" fillId="12" borderId="0" applyNumberFormat="0" applyBorder="0" applyAlignment="0" applyProtection="0">
      <alignment vertical="center"/>
    </xf>
    <xf numFmtId="0" fontId="94" fillId="0" borderId="0"/>
    <xf numFmtId="207" fontId="5" fillId="0" borderId="17" applyBorder="0"/>
    <xf numFmtId="205" fontId="5" fillId="0" borderId="0" applyNumberFormat="0" applyFont="0" applyFill="0" applyBorder="0" applyProtection="0">
      <alignment horizontal="centerContinuous" vertical="center"/>
    </xf>
    <xf numFmtId="38" fontId="56" fillId="0" borderId="0">
      <alignment vertical="center" wrapText="1"/>
    </xf>
    <xf numFmtId="0" fontId="75" fillId="0" borderId="0" applyNumberFormat="0" applyFill="0" applyBorder="0" applyAlignment="0" applyProtection="0">
      <alignment vertical="center"/>
    </xf>
    <xf numFmtId="0" fontId="76" fillId="26" borderId="18" applyNumberFormat="0" applyAlignment="0" applyProtection="0">
      <alignment vertical="center"/>
    </xf>
    <xf numFmtId="0" fontId="51" fillId="0" borderId="19"/>
    <xf numFmtId="4" fontId="51" fillId="0" borderId="17"/>
    <xf numFmtId="208" fontId="5" fillId="0" borderId="17"/>
    <xf numFmtId="0" fontId="5" fillId="0" borderId="17"/>
    <xf numFmtId="3" fontId="57" fillId="0" borderId="0">
      <alignment vertical="center" wrapText="1"/>
    </xf>
    <xf numFmtId="3" fontId="58" fillId="0" borderId="0">
      <alignment vertical="center" wrapText="1"/>
    </xf>
    <xf numFmtId="0" fontId="59" fillId="0" borderId="0">
      <alignment vertical="center"/>
    </xf>
    <xf numFmtId="209" fontId="60" fillId="0" borderId="0">
      <alignment vertical="center"/>
    </xf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2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Alignment="0" applyProtection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/>
    <xf numFmtId="0" fontId="10" fillId="0" borderId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1" fillId="0" borderId="20"/>
    <xf numFmtId="0" fontId="77" fillId="0" borderId="21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210" fontId="62" fillId="0" borderId="0" applyFont="0" applyFill="0" applyBorder="0" applyAlignment="0" applyProtection="0"/>
    <xf numFmtId="211" fontId="5" fillId="0" borderId="0" applyFont="0" applyFill="0" applyBorder="0" applyAlignment="0" applyProtection="0"/>
    <xf numFmtId="210" fontId="62" fillId="0" borderId="0" applyFont="0" applyFill="0" applyBorder="0" applyAlignment="0" applyProtection="0"/>
    <xf numFmtId="210" fontId="62" fillId="0" borderId="0" applyFont="0" applyFill="0" applyBorder="0" applyAlignment="0" applyProtection="0"/>
    <xf numFmtId="0" fontId="63" fillId="0" borderId="0">
      <alignment vertical="center"/>
    </xf>
    <xf numFmtId="0" fontId="64" fillId="0" borderId="0" applyNumberFormat="0">
      <alignment horizontal="left" vertical="center"/>
    </xf>
    <xf numFmtId="0" fontId="56" fillId="0" borderId="0" applyNumberFormat="0" applyBorder="0" applyAlignment="0">
      <alignment horizontal="centerContinuous" vertical="center"/>
    </xf>
    <xf numFmtId="0" fontId="79" fillId="3" borderId="11" applyNumberFormat="0" applyAlignment="0" applyProtection="0">
      <alignment vertical="center"/>
    </xf>
    <xf numFmtId="4" fontId="47" fillId="0" borderId="0" applyFont="0" applyFill="0" applyBorder="0" applyAlignment="0" applyProtection="0"/>
    <xf numFmtId="0" fontId="51" fillId="0" borderId="0"/>
    <xf numFmtId="4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0" fontId="84" fillId="0" borderId="23" applyNumberFormat="0" applyFill="0" applyAlignment="0" applyProtection="0">
      <alignment vertical="center"/>
    </xf>
    <xf numFmtId="0" fontId="85" fillId="0" borderId="24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" fillId="0" borderId="0"/>
    <xf numFmtId="0" fontId="81" fillId="9" borderId="26" applyNumberFormat="0" applyAlignment="0" applyProtection="0">
      <alignment vertical="center"/>
    </xf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209" fontId="65" fillId="0" borderId="0" applyFont="0" applyFill="0" applyBorder="0" applyAlignment="0" applyProtection="0">
      <alignment vertical="center"/>
    </xf>
    <xf numFmtId="184" fontId="5" fillId="0" borderId="0">
      <protection locked="0"/>
    </xf>
    <xf numFmtId="212" fontId="5" fillId="0" borderId="0" applyFont="0" applyFill="0" applyBorder="0" applyProtection="0">
      <alignment vertical="center"/>
    </xf>
    <xf numFmtId="38" fontId="53" fillId="0" borderId="0" applyFont="0" applyFill="0" applyBorder="0" applyProtection="0">
      <alignment vertical="center"/>
    </xf>
    <xf numFmtId="179" fontId="7" fillId="0" borderId="0">
      <protection locked="0"/>
    </xf>
    <xf numFmtId="41" fontId="5" fillId="0" borderId="0" applyFont="0" applyFill="0" applyBorder="0" applyAlignment="0" applyProtection="0"/>
    <xf numFmtId="187" fontId="7" fillId="19" borderId="0" applyFill="0" applyBorder="0" applyProtection="0">
      <alignment horizontal="right"/>
    </xf>
    <xf numFmtId="221" fontId="7" fillId="19" borderId="0" applyFill="0" applyBorder="0" applyProtection="0">
      <alignment horizontal="right"/>
    </xf>
    <xf numFmtId="38" fontId="53" fillId="0" borderId="0" applyFont="0" applyFill="0" applyBorder="0" applyAlignment="0" applyProtection="0">
      <alignment vertical="center"/>
    </xf>
    <xf numFmtId="213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214" fontId="17" fillId="0" borderId="0" applyFont="0" applyFill="0" applyBorder="0" applyAlignment="0" applyProtection="0">
      <alignment textRotation="255"/>
    </xf>
    <xf numFmtId="215" fontId="17" fillId="0" borderId="0" applyFont="0" applyFill="0" applyBorder="0" applyAlignment="0" applyProtection="0">
      <alignment textRotation="255"/>
    </xf>
    <xf numFmtId="216" fontId="17" fillId="0" borderId="0" applyFont="0" applyFill="0" applyBorder="0" applyAlignment="0" applyProtection="0">
      <alignment textRotation="255"/>
    </xf>
    <xf numFmtId="217" fontId="17" fillId="0" borderId="0" applyFont="0" applyFill="0" applyBorder="0" applyAlignment="0" applyProtection="0">
      <alignment textRotation="255"/>
    </xf>
    <xf numFmtId="43" fontId="8" fillId="0" borderId="0" applyFont="0" applyFill="0" applyBorder="0" applyAlignment="0" applyProtection="0"/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0" fontId="47" fillId="0" borderId="0" applyFont="0" applyFill="0" applyBorder="0" applyAlignment="0" applyProtection="0"/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9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 applyFill="0" applyAlignment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6" fillId="0" borderId="0" applyFill="0" applyAlignment="0">
      <alignment vertical="center"/>
    </xf>
    <xf numFmtId="0" fontId="6" fillId="0" borderId="0" applyFill="0" applyAlignment="0">
      <alignment vertical="center"/>
    </xf>
    <xf numFmtId="0" fontId="6" fillId="0" borderId="0" applyFill="0" applyAlignment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 applyFill="0" applyAlignment="0">
      <alignment vertical="center"/>
    </xf>
    <xf numFmtId="0" fontId="96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/>
    <xf numFmtId="0" fontId="96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/>
    <xf numFmtId="0" fontId="9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96" fillId="0" borderId="0">
      <alignment vertical="center"/>
    </xf>
    <xf numFmtId="0" fontId="5" fillId="0" borderId="0"/>
    <xf numFmtId="0" fontId="47" fillId="0" borderId="9" applyNumberFormat="0" applyFont="0" applyFill="0" applyAlignment="0" applyProtection="0"/>
    <xf numFmtId="218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176" fontId="7" fillId="0" borderId="27"/>
  </cellStyleXfs>
  <cellXfs count="340">
    <xf numFmtId="0" fontId="0" fillId="0" borderId="0" xfId="0"/>
    <xf numFmtId="0" fontId="68" fillId="29" borderId="2" xfId="0" applyFont="1" applyFill="1" applyBorder="1" applyAlignment="1">
      <alignment horizontal="center" vertical="center"/>
    </xf>
    <xf numFmtId="2" fontId="68" fillId="29" borderId="2" xfId="0" applyNumberFormat="1" applyFont="1" applyFill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0" fontId="68" fillId="29" borderId="2" xfId="0" applyFont="1" applyFill="1" applyBorder="1" applyAlignment="1">
      <alignment vertical="center"/>
    </xf>
    <xf numFmtId="0" fontId="68" fillId="31" borderId="2" xfId="0" applyFont="1" applyFill="1" applyBorder="1" applyAlignment="1">
      <alignment horizontal="center" vertical="center"/>
    </xf>
    <xf numFmtId="2" fontId="68" fillId="31" borderId="2" xfId="0" applyNumberFormat="1" applyFont="1" applyFill="1" applyBorder="1" applyAlignment="1">
      <alignment horizontal="center" vertical="center"/>
    </xf>
    <xf numFmtId="0" fontId="68" fillId="31" borderId="2" xfId="0" applyFont="1" applyFill="1" applyBorder="1" applyAlignment="1">
      <alignment vertical="center"/>
    </xf>
    <xf numFmtId="0" fontId="68" fillId="31" borderId="2" xfId="0" applyFont="1" applyFill="1" applyBorder="1" applyAlignment="1">
      <alignment horizontal="center" vertical="center" wrapText="1"/>
    </xf>
    <xf numFmtId="2" fontId="68" fillId="0" borderId="2" xfId="0" applyNumberFormat="1" applyFont="1" applyBorder="1" applyAlignment="1">
      <alignment horizontal="center" vertical="center"/>
    </xf>
    <xf numFmtId="0" fontId="97" fillId="0" borderId="0" xfId="0" applyFont="1" applyAlignment="1">
      <alignment vertical="center"/>
    </xf>
    <xf numFmtId="0" fontId="97" fillId="0" borderId="0" xfId="0" applyFont="1"/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vertical="center"/>
    </xf>
    <xf numFmtId="0" fontId="102" fillId="30" borderId="52" xfId="0" applyFont="1" applyFill="1" applyBorder="1" applyAlignment="1">
      <alignment horizontal="center" vertical="center"/>
    </xf>
    <xf numFmtId="0" fontId="102" fillId="30" borderId="51" xfId="0" applyFont="1" applyFill="1" applyBorder="1" applyAlignment="1">
      <alignment horizontal="center" vertical="center" wrapText="1"/>
    </xf>
    <xf numFmtId="0" fontId="102" fillId="30" borderId="53" xfId="0" applyFont="1" applyFill="1" applyBorder="1" applyAlignment="1">
      <alignment horizontal="center" vertical="center" wrapText="1"/>
    </xf>
    <xf numFmtId="0" fontId="102" fillId="30" borderId="54" xfId="0" applyFont="1" applyFill="1" applyBorder="1" applyAlignment="1">
      <alignment horizontal="center" vertical="center"/>
    </xf>
    <xf numFmtId="0" fontId="102" fillId="30" borderId="53" xfId="0" applyFont="1" applyFill="1" applyBorder="1" applyAlignment="1">
      <alignment horizontal="center" vertical="center"/>
    </xf>
    <xf numFmtId="178" fontId="102" fillId="30" borderId="55" xfId="0" applyNumberFormat="1" applyFont="1" applyFill="1" applyBorder="1" applyAlignment="1">
      <alignment horizontal="center" vertical="center"/>
    </xf>
    <xf numFmtId="0" fontId="102" fillId="30" borderId="52" xfId="0" applyFont="1" applyFill="1" applyBorder="1" applyAlignment="1">
      <alignment horizontal="right" vertical="center"/>
    </xf>
    <xf numFmtId="0" fontId="102" fillId="30" borderId="51" xfId="0" applyFont="1" applyFill="1" applyBorder="1" applyAlignment="1">
      <alignment vertical="center"/>
    </xf>
    <xf numFmtId="0" fontId="102" fillId="30" borderId="51" xfId="0" applyFont="1" applyFill="1" applyBorder="1" applyAlignment="1">
      <alignment horizontal="center" vertical="center"/>
    </xf>
    <xf numFmtId="0" fontId="103" fillId="31" borderId="49" xfId="0" applyFont="1" applyFill="1" applyBorder="1" applyAlignment="1">
      <alignment vertical="center"/>
    </xf>
    <xf numFmtId="0" fontId="103" fillId="31" borderId="51" xfId="0" applyFont="1" applyFill="1" applyBorder="1" applyAlignment="1">
      <alignment vertical="center"/>
    </xf>
    <xf numFmtId="178" fontId="102" fillId="31" borderId="49" xfId="0" applyNumberFormat="1" applyFont="1" applyFill="1" applyBorder="1" applyAlignment="1">
      <alignment vertical="center"/>
    </xf>
    <xf numFmtId="178" fontId="104" fillId="31" borderId="50" xfId="0" applyNumberFormat="1" applyFont="1" applyFill="1" applyBorder="1" applyAlignment="1">
      <alignment vertical="center"/>
    </xf>
    <xf numFmtId="41" fontId="103" fillId="0" borderId="49" xfId="1267" applyFont="1" applyBorder="1" applyAlignment="1">
      <alignment vertical="center"/>
    </xf>
    <xf numFmtId="178" fontId="103" fillId="0" borderId="50" xfId="0" applyNumberFormat="1" applyFont="1" applyBorder="1" applyAlignment="1">
      <alignment horizontal="center" vertical="center"/>
    </xf>
    <xf numFmtId="41" fontId="97" fillId="0" borderId="0" xfId="0" applyNumberFormat="1" applyFont="1" applyAlignment="1">
      <alignment horizontal="left" vertical="center"/>
    </xf>
    <xf numFmtId="0" fontId="103" fillId="30" borderId="51" xfId="0" applyFont="1" applyFill="1" applyBorder="1" applyAlignment="1">
      <alignment horizontal="center" vertical="center"/>
    </xf>
    <xf numFmtId="0" fontId="103" fillId="0" borderId="50" xfId="0" applyFont="1" applyBorder="1" applyAlignment="1">
      <alignment horizontal="right" vertical="center"/>
    </xf>
    <xf numFmtId="220" fontId="103" fillId="0" borderId="51" xfId="1235" applyNumberFormat="1" applyFont="1" applyFill="1" applyBorder="1" applyAlignment="1">
      <alignment horizontal="center" vertical="center"/>
    </xf>
    <xf numFmtId="178" fontId="103" fillId="0" borderId="49" xfId="0" applyNumberFormat="1" applyFont="1" applyBorder="1" applyAlignment="1">
      <alignment horizontal="right" vertical="center"/>
    </xf>
    <xf numFmtId="178" fontId="103" fillId="0" borderId="50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43" fontId="97" fillId="0" borderId="0" xfId="0" applyNumberFormat="1" applyFont="1" applyAlignment="1">
      <alignment horizontal="left" vertical="center"/>
    </xf>
    <xf numFmtId="233" fontId="97" fillId="34" borderId="0" xfId="0" applyNumberFormat="1" applyFont="1" applyFill="1" applyAlignment="1">
      <alignment horizontal="left"/>
    </xf>
    <xf numFmtId="0" fontId="106" fillId="30" borderId="52" xfId="0" applyFont="1" applyFill="1" applyBorder="1" applyAlignment="1">
      <alignment horizontal="right" vertical="center"/>
    </xf>
    <xf numFmtId="0" fontId="106" fillId="30" borderId="51" xfId="0" applyFont="1" applyFill="1" applyBorder="1" applyAlignment="1">
      <alignment horizontal="left" vertical="center"/>
    </xf>
    <xf numFmtId="0" fontId="106" fillId="30" borderId="51" xfId="0" applyFont="1" applyFill="1" applyBorder="1" applyAlignment="1">
      <alignment horizontal="center" vertical="center"/>
    </xf>
    <xf numFmtId="0" fontId="105" fillId="31" borderId="49" xfId="0" applyFont="1" applyFill="1" applyBorder="1" applyAlignment="1">
      <alignment vertical="center"/>
    </xf>
    <xf numFmtId="0" fontId="105" fillId="31" borderId="51" xfId="0" applyFont="1" applyFill="1" applyBorder="1" applyAlignment="1">
      <alignment vertical="center"/>
    </xf>
    <xf numFmtId="178" fontId="106" fillId="31" borderId="49" xfId="0" applyNumberFormat="1" applyFont="1" applyFill="1" applyBorder="1" applyAlignment="1">
      <alignment vertical="center"/>
    </xf>
    <xf numFmtId="178" fontId="105" fillId="31" borderId="50" xfId="0" applyNumberFormat="1" applyFont="1" applyFill="1" applyBorder="1" applyAlignment="1">
      <alignment vertical="center"/>
    </xf>
    <xf numFmtId="0" fontId="102" fillId="0" borderId="52" xfId="0" applyFont="1" applyBorder="1" applyAlignment="1">
      <alignment vertical="center"/>
    </xf>
    <xf numFmtId="0" fontId="102" fillId="0" borderId="52" xfId="0" applyFont="1" applyBorder="1" applyAlignment="1">
      <alignment horizontal="center" vertical="center"/>
    </xf>
    <xf numFmtId="0" fontId="102" fillId="30" borderId="59" xfId="0" applyFont="1" applyFill="1" applyBorder="1" applyAlignment="1">
      <alignment horizontal="right" vertical="center"/>
    </xf>
    <xf numFmtId="0" fontId="102" fillId="30" borderId="56" xfId="0" applyFont="1" applyFill="1" applyBorder="1" applyAlignment="1">
      <alignment horizontal="left" vertical="center"/>
    </xf>
    <xf numFmtId="0" fontId="102" fillId="30" borderId="56" xfId="0" applyFont="1" applyFill="1" applyBorder="1" applyAlignment="1">
      <alignment horizontal="center" vertical="center"/>
    </xf>
    <xf numFmtId="0" fontId="104" fillId="30" borderId="57" xfId="0" applyFont="1" applyFill="1" applyBorder="1" applyAlignment="1">
      <alignment vertical="center"/>
    </xf>
    <xf numFmtId="0" fontId="104" fillId="30" borderId="56" xfId="0" applyFont="1" applyFill="1" applyBorder="1" applyAlignment="1">
      <alignment vertical="center"/>
    </xf>
    <xf numFmtId="178" fontId="102" fillId="30" borderId="57" xfId="0" applyNumberFormat="1" applyFont="1" applyFill="1" applyBorder="1" applyAlignment="1">
      <alignment vertical="center"/>
    </xf>
    <xf numFmtId="230" fontId="107" fillId="30" borderId="58" xfId="0" applyNumberFormat="1" applyFont="1" applyFill="1" applyBorder="1" applyAlignment="1">
      <alignment vertical="center"/>
    </xf>
    <xf numFmtId="0" fontId="105" fillId="0" borderId="0" xfId="0" applyFont="1"/>
    <xf numFmtId="41" fontId="103" fillId="0" borderId="49" xfId="1270" applyFont="1" applyBorder="1" applyAlignment="1">
      <alignment vertical="center"/>
    </xf>
    <xf numFmtId="178" fontId="104" fillId="31" borderId="50" xfId="0" applyNumberFormat="1" applyFont="1" applyFill="1" applyBorder="1" applyAlignment="1">
      <alignment horizontal="center" vertical="center"/>
    </xf>
    <xf numFmtId="0" fontId="102" fillId="32" borderId="59" xfId="0" applyFont="1" applyFill="1" applyBorder="1" applyAlignment="1">
      <alignment horizontal="right" vertical="center"/>
    </xf>
    <xf numFmtId="0" fontId="102" fillId="32" borderId="56" xfId="0" applyFont="1" applyFill="1" applyBorder="1" applyAlignment="1">
      <alignment horizontal="left" vertical="center"/>
    </xf>
    <xf numFmtId="0" fontId="104" fillId="32" borderId="57" xfId="0" applyFont="1" applyFill="1" applyBorder="1" applyAlignment="1">
      <alignment vertical="center"/>
    </xf>
    <xf numFmtId="178" fontId="102" fillId="32" borderId="57" xfId="0" applyNumberFormat="1" applyFont="1" applyFill="1" applyBorder="1" applyAlignment="1">
      <alignment vertical="center"/>
    </xf>
    <xf numFmtId="230" fontId="107" fillId="32" borderId="58" xfId="0" applyNumberFormat="1" applyFont="1" applyFill="1" applyBorder="1" applyAlignment="1">
      <alignment vertical="center"/>
    </xf>
    <xf numFmtId="0" fontId="109" fillId="0" borderId="0" xfId="0" applyFont="1"/>
    <xf numFmtId="9" fontId="109" fillId="0" borderId="0" xfId="0" applyNumberFormat="1" applyFont="1"/>
    <xf numFmtId="0" fontId="97" fillId="0" borderId="49" xfId="0" applyFont="1" applyBorder="1" applyAlignment="1">
      <alignment horizontal="center"/>
    </xf>
    <xf numFmtId="0" fontId="97" fillId="0" borderId="49" xfId="0" applyFont="1" applyBorder="1" applyAlignment="1">
      <alignment horizontal="center" vertical="center"/>
    </xf>
    <xf numFmtId="0" fontId="97" fillId="0" borderId="50" xfId="0" applyFont="1" applyBorder="1" applyAlignment="1">
      <alignment horizontal="center" vertical="center"/>
    </xf>
    <xf numFmtId="0" fontId="97" fillId="28" borderId="49" xfId="0" applyFont="1" applyFill="1" applyBorder="1" applyAlignment="1">
      <alignment horizontal="center" vertical="center"/>
    </xf>
    <xf numFmtId="0" fontId="97" fillId="28" borderId="50" xfId="0" applyFont="1" applyFill="1" applyBorder="1" applyAlignment="1">
      <alignment horizontal="center" vertical="center"/>
    </xf>
    <xf numFmtId="0" fontId="97" fillId="27" borderId="49" xfId="0" applyFont="1" applyFill="1" applyBorder="1" applyAlignment="1">
      <alignment horizontal="center" vertical="center"/>
    </xf>
    <xf numFmtId="0" fontId="97" fillId="27" borderId="50" xfId="0" applyFont="1" applyFill="1" applyBorder="1" applyAlignment="1">
      <alignment horizontal="center" vertical="center"/>
    </xf>
    <xf numFmtId="0" fontId="110" fillId="0" borderId="49" xfId="0" applyFont="1" applyBorder="1" applyAlignment="1">
      <alignment horizontal="center" vertical="center"/>
    </xf>
    <xf numFmtId="231" fontId="110" fillId="0" borderId="49" xfId="0" applyNumberFormat="1" applyFont="1" applyBorder="1" applyAlignment="1">
      <alignment vertical="center" shrinkToFit="1"/>
    </xf>
    <xf numFmtId="231" fontId="110" fillId="0" borderId="50" xfId="0" applyNumberFormat="1" applyFont="1" applyBorder="1" applyAlignment="1">
      <alignment vertical="center" shrinkToFit="1"/>
    </xf>
    <xf numFmtId="0" fontId="98" fillId="37" borderId="49" xfId="0" applyFont="1" applyFill="1" applyBorder="1" applyAlignment="1">
      <alignment horizontal="center" vertical="center"/>
    </xf>
    <xf numFmtId="0" fontId="110" fillId="31" borderId="49" xfId="0" applyFont="1" applyFill="1" applyBorder="1" applyAlignment="1">
      <alignment horizontal="center" vertical="center"/>
    </xf>
    <xf numFmtId="231" fontId="110" fillId="31" borderId="49" xfId="0" applyNumberFormat="1" applyFont="1" applyFill="1" applyBorder="1" applyAlignment="1">
      <alignment vertical="center" shrinkToFit="1"/>
    </xf>
    <xf numFmtId="0" fontId="97" fillId="0" borderId="89" xfId="0" applyFont="1" applyBorder="1" applyAlignment="1">
      <alignment horizontal="center"/>
    </xf>
    <xf numFmtId="0" fontId="97" fillId="0" borderId="89" xfId="0" applyFont="1" applyBorder="1" applyAlignment="1">
      <alignment horizontal="center" vertical="center"/>
    </xf>
    <xf numFmtId="0" fontId="97" fillId="0" borderId="78" xfId="0" applyFont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/>
    </xf>
    <xf numFmtId="0" fontId="108" fillId="30" borderId="65" xfId="0" applyFont="1" applyFill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 wrapText="1"/>
    </xf>
    <xf numFmtId="0" fontId="108" fillId="30" borderId="65" xfId="0" applyFont="1" applyFill="1" applyBorder="1" applyAlignment="1">
      <alignment horizontal="center" vertical="center" wrapText="1"/>
    </xf>
    <xf numFmtId="0" fontId="97" fillId="29" borderId="89" xfId="0" applyFont="1" applyFill="1" applyBorder="1" applyAlignment="1">
      <alignment horizontal="center" vertical="center"/>
    </xf>
    <xf numFmtId="0" fontId="111" fillId="33" borderId="72" xfId="0" applyFont="1" applyFill="1" applyBorder="1" applyAlignment="1">
      <alignment horizontal="center" vertical="center"/>
    </xf>
    <xf numFmtId="0" fontId="111" fillId="33" borderId="88" xfId="0" applyFont="1" applyFill="1" applyBorder="1" applyAlignment="1">
      <alignment horizontal="center" vertical="center"/>
    </xf>
    <xf numFmtId="0" fontId="102" fillId="33" borderId="52" xfId="0" applyFont="1" applyFill="1" applyBorder="1" applyAlignment="1">
      <alignment horizontal="center" vertical="center"/>
    </xf>
    <xf numFmtId="0" fontId="102" fillId="33" borderId="51" xfId="0" applyFont="1" applyFill="1" applyBorder="1" applyAlignment="1">
      <alignment horizontal="center" vertical="center" wrapText="1"/>
    </xf>
    <xf numFmtId="0" fontId="102" fillId="33" borderId="52" xfId="0" applyFont="1" applyFill="1" applyBorder="1" applyAlignment="1">
      <alignment horizontal="right" vertical="center"/>
    </xf>
    <xf numFmtId="0" fontId="102" fillId="33" borderId="51" xfId="0" applyFont="1" applyFill="1" applyBorder="1" applyAlignment="1">
      <alignment vertical="center"/>
    </xf>
    <xf numFmtId="0" fontId="106" fillId="33" borderId="52" xfId="0" applyFont="1" applyFill="1" applyBorder="1" applyAlignment="1">
      <alignment horizontal="right" vertical="center"/>
    </xf>
    <xf numFmtId="0" fontId="106" fillId="33" borderId="51" xfId="0" applyFont="1" applyFill="1" applyBorder="1" applyAlignment="1">
      <alignment horizontal="left" vertical="center"/>
    </xf>
    <xf numFmtId="0" fontId="102" fillId="33" borderId="53" xfId="0" applyFont="1" applyFill="1" applyBorder="1" applyAlignment="1">
      <alignment horizontal="center" vertical="center" wrapText="1"/>
    </xf>
    <xf numFmtId="0" fontId="104" fillId="33" borderId="49" xfId="0" applyFont="1" applyFill="1" applyBorder="1" applyAlignment="1">
      <alignment vertical="center"/>
    </xf>
    <xf numFmtId="0" fontId="102" fillId="33" borderId="53" xfId="0" applyFont="1" applyFill="1" applyBorder="1" applyAlignment="1">
      <alignment horizontal="center" vertical="center"/>
    </xf>
    <xf numFmtId="178" fontId="102" fillId="33" borderId="55" xfId="0" applyNumberFormat="1" applyFont="1" applyFill="1" applyBorder="1" applyAlignment="1">
      <alignment horizontal="center" vertical="center"/>
    </xf>
    <xf numFmtId="0" fontId="103" fillId="33" borderId="49" xfId="0" applyFont="1" applyFill="1" applyBorder="1" applyAlignment="1">
      <alignment horizontal="center" vertical="center"/>
    </xf>
    <xf numFmtId="0" fontId="105" fillId="30" borderId="49" xfId="0" applyFont="1" applyFill="1" applyBorder="1" applyAlignment="1">
      <alignment horizontal="center" vertical="center"/>
    </xf>
    <xf numFmtId="233" fontId="103" fillId="0" borderId="49" xfId="1267" applyNumberFormat="1" applyFont="1" applyBorder="1" applyAlignment="1">
      <alignment vertical="center"/>
    </xf>
    <xf numFmtId="0" fontId="117" fillId="0" borderId="47" xfId="0" applyFont="1" applyBorder="1" applyAlignment="1">
      <alignment vertical="center" wrapText="1"/>
    </xf>
    <xf numFmtId="232" fontId="118" fillId="31" borderId="47" xfId="0" applyNumberFormat="1" applyFont="1" applyFill="1" applyBorder="1" applyAlignment="1">
      <alignment horizontal="center" vertical="center" wrapText="1"/>
    </xf>
    <xf numFmtId="232" fontId="118" fillId="0" borderId="61" xfId="0" applyNumberFormat="1" applyFont="1" applyBorder="1" applyAlignment="1">
      <alignment vertical="center" wrapText="1"/>
    </xf>
    <xf numFmtId="0" fontId="117" fillId="0" borderId="77" xfId="0" applyFont="1" applyBorder="1" applyAlignment="1">
      <alignment vertical="center" wrapText="1"/>
    </xf>
    <xf numFmtId="41" fontId="120" fillId="0" borderId="51" xfId="1267" applyFont="1" applyBorder="1" applyAlignment="1">
      <alignment vertical="center"/>
    </xf>
    <xf numFmtId="231" fontId="121" fillId="0" borderId="49" xfId="0" applyNumberFormat="1" applyFont="1" applyBorder="1" applyAlignment="1">
      <alignment horizontal="center" vertical="center" wrapText="1"/>
    </xf>
    <xf numFmtId="0" fontId="115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7" fillId="0" borderId="0" xfId="0" applyFont="1" applyAlignment="1">
      <alignment vertical="center" wrapText="1"/>
    </xf>
    <xf numFmtId="178" fontId="118" fillId="0" borderId="52" xfId="0" applyNumberFormat="1" applyFont="1" applyBorder="1" applyAlignment="1">
      <alignment vertical="center" shrinkToFit="1"/>
    </xf>
    <xf numFmtId="178" fontId="118" fillId="0" borderId="51" xfId="0" applyNumberFormat="1" applyFont="1" applyBorder="1" applyAlignment="1">
      <alignment vertical="center" shrinkToFit="1"/>
    </xf>
    <xf numFmtId="180" fontId="126" fillId="35" borderId="52" xfId="0" applyNumberFormat="1" applyFont="1" applyFill="1" applyBorder="1" applyAlignment="1">
      <alignment horizontal="right" vertical="center" shrinkToFit="1"/>
    </xf>
    <xf numFmtId="178" fontId="126" fillId="35" borderId="51" xfId="0" applyNumberFormat="1" applyFont="1" applyFill="1" applyBorder="1" applyAlignment="1">
      <alignment vertical="center"/>
    </xf>
    <xf numFmtId="0" fontId="124" fillId="0" borderId="0" xfId="0" applyFont="1" applyAlignment="1">
      <alignment vertical="center"/>
    </xf>
    <xf numFmtId="0" fontId="115" fillId="0" borderId="84" xfId="0" applyFont="1" applyBorder="1" applyAlignment="1">
      <alignment vertical="center"/>
    </xf>
    <xf numFmtId="0" fontId="129" fillId="0" borderId="84" xfId="0" applyFont="1" applyBorder="1" applyAlignment="1">
      <alignment vertical="center"/>
    </xf>
    <xf numFmtId="0" fontId="115" fillId="0" borderId="83" xfId="0" applyFont="1" applyBorder="1" applyAlignment="1">
      <alignment vertical="center"/>
    </xf>
    <xf numFmtId="0" fontId="130" fillId="0" borderId="0" xfId="0" applyFont="1" applyAlignment="1">
      <alignment vertical="center"/>
    </xf>
    <xf numFmtId="0" fontId="132" fillId="0" borderId="0" xfId="0" applyFont="1" applyAlignment="1">
      <alignment horizontal="center" vertical="center"/>
    </xf>
    <xf numFmtId="0" fontId="134" fillId="0" borderId="83" xfId="0" applyFont="1" applyBorder="1" applyAlignment="1">
      <alignment vertical="center"/>
    </xf>
    <xf numFmtId="0" fontId="134" fillId="0" borderId="0" xfId="0" applyFont="1" applyAlignment="1">
      <alignment vertical="center"/>
    </xf>
    <xf numFmtId="0" fontId="117" fillId="0" borderId="32" xfId="0" applyFont="1" applyBorder="1" applyAlignment="1">
      <alignment vertical="center"/>
    </xf>
    <xf numFmtId="0" fontId="117" fillId="0" borderId="32" xfId="0" applyFont="1" applyBorder="1" applyAlignment="1">
      <alignment vertical="center" wrapText="1"/>
    </xf>
    <xf numFmtId="0" fontId="135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31" fontId="117" fillId="0" borderId="0" xfId="0" applyNumberFormat="1" applyFont="1" applyAlignment="1">
      <alignment vertical="center"/>
    </xf>
    <xf numFmtId="31" fontId="117" fillId="0" borderId="32" xfId="0" applyNumberFormat="1" applyFont="1" applyBorder="1" applyAlignment="1">
      <alignment vertical="center"/>
    </xf>
    <xf numFmtId="0" fontId="116" fillId="0" borderId="29" xfId="0" applyFont="1" applyBorder="1" applyAlignment="1">
      <alignment vertical="center" wrapText="1"/>
    </xf>
    <xf numFmtId="0" fontId="115" fillId="38" borderId="0" xfId="0" applyFont="1" applyFill="1" applyAlignment="1">
      <alignment vertical="center"/>
    </xf>
    <xf numFmtId="0" fontId="117" fillId="36" borderId="63" xfId="0" applyFont="1" applyFill="1" applyBorder="1" applyAlignment="1">
      <alignment vertical="center" wrapText="1"/>
    </xf>
    <xf numFmtId="0" fontId="137" fillId="0" borderId="84" xfId="0" applyFont="1" applyBorder="1" applyAlignment="1">
      <alignment vertical="center" wrapText="1"/>
    </xf>
    <xf numFmtId="0" fontId="132" fillId="0" borderId="83" xfId="0" applyFont="1" applyBorder="1" applyAlignment="1">
      <alignment vertical="center"/>
    </xf>
    <xf numFmtId="0" fontId="132" fillId="38" borderId="0" xfId="0" applyFont="1" applyFill="1" applyAlignment="1">
      <alignment vertical="center"/>
    </xf>
    <xf numFmtId="0" fontId="132" fillId="0" borderId="0" xfId="0" applyFont="1" applyAlignment="1">
      <alignment vertical="center"/>
    </xf>
    <xf numFmtId="0" fontId="117" fillId="36" borderId="76" xfId="0" applyFont="1" applyFill="1" applyBorder="1" applyAlignment="1">
      <alignment vertical="center" wrapText="1"/>
    </xf>
    <xf numFmtId="0" fontId="137" fillId="0" borderId="0" xfId="0" applyFont="1" applyAlignment="1">
      <alignment vertical="center" wrapText="1"/>
    </xf>
    <xf numFmtId="0" fontId="138" fillId="0" borderId="83" xfId="0" applyFont="1" applyBorder="1" applyAlignment="1">
      <alignment vertical="center"/>
    </xf>
    <xf numFmtId="0" fontId="138" fillId="38" borderId="66" xfId="0" applyFont="1" applyFill="1" applyBorder="1" applyAlignment="1">
      <alignment vertical="center"/>
    </xf>
    <xf numFmtId="0" fontId="138" fillId="0" borderId="84" xfId="0" applyFont="1" applyBorder="1" applyAlignment="1">
      <alignment vertical="center"/>
    </xf>
    <xf numFmtId="0" fontId="138" fillId="0" borderId="0" xfId="0" applyFont="1" applyAlignment="1">
      <alignment vertical="center"/>
    </xf>
    <xf numFmtId="0" fontId="115" fillId="38" borderId="66" xfId="0" applyFont="1" applyFill="1" applyBorder="1" applyAlignment="1">
      <alignment vertical="center"/>
    </xf>
    <xf numFmtId="0" fontId="139" fillId="0" borderId="83" xfId="0" applyFont="1" applyBorder="1" applyAlignment="1">
      <alignment vertical="center"/>
    </xf>
    <xf numFmtId="0" fontId="139" fillId="38" borderId="66" xfId="0" applyFont="1" applyFill="1" applyBorder="1" applyAlignment="1">
      <alignment vertical="center"/>
    </xf>
    <xf numFmtId="0" fontId="139" fillId="0" borderId="84" xfId="0" applyFont="1" applyBorder="1" applyAlignment="1">
      <alignment vertical="center"/>
    </xf>
    <xf numFmtId="0" fontId="139" fillId="0" borderId="0" xfId="0" applyFont="1" applyAlignment="1">
      <alignment vertical="center"/>
    </xf>
    <xf numFmtId="0" fontId="141" fillId="0" borderId="83" xfId="0" applyFont="1" applyBorder="1" applyAlignment="1">
      <alignment vertical="center"/>
    </xf>
    <xf numFmtId="0" fontId="141" fillId="38" borderId="0" xfId="0" applyFont="1" applyFill="1" applyAlignment="1">
      <alignment vertical="center"/>
    </xf>
    <xf numFmtId="0" fontId="142" fillId="0" borderId="95" xfId="1442" applyFont="1" applyBorder="1" applyAlignment="1">
      <alignment vertical="center"/>
    </xf>
    <xf numFmtId="0" fontId="142" fillId="0" borderId="0" xfId="1442" applyFont="1" applyAlignment="1">
      <alignment vertical="center"/>
    </xf>
    <xf numFmtId="0" fontId="143" fillId="0" borderId="0" xfId="0" applyFont="1" applyAlignment="1">
      <alignment vertical="center"/>
    </xf>
    <xf numFmtId="0" fontId="141" fillId="0" borderId="92" xfId="0" applyFont="1" applyBorder="1" applyAlignment="1">
      <alignment vertical="center"/>
    </xf>
    <xf numFmtId="0" fontId="141" fillId="0" borderId="84" xfId="0" applyFont="1" applyBorder="1" applyAlignment="1">
      <alignment vertical="center"/>
    </xf>
    <xf numFmtId="0" fontId="141" fillId="0" borderId="0" xfId="0" applyFont="1" applyAlignment="1">
      <alignment vertical="center"/>
    </xf>
    <xf numFmtId="0" fontId="144" fillId="0" borderId="83" xfId="0" applyFont="1" applyBorder="1" applyAlignment="1">
      <alignment vertical="center"/>
    </xf>
    <xf numFmtId="0" fontId="144" fillId="38" borderId="0" xfId="0" applyFont="1" applyFill="1" applyAlignment="1">
      <alignment vertical="center"/>
    </xf>
    <xf numFmtId="0" fontId="145" fillId="0" borderId="95" xfId="1442" applyFont="1" applyBorder="1" applyAlignment="1">
      <alignment vertical="center"/>
    </xf>
    <xf numFmtId="0" fontId="145" fillId="0" borderId="0" xfId="1442" applyFont="1" applyAlignment="1">
      <alignment vertical="center"/>
    </xf>
    <xf numFmtId="0" fontId="146" fillId="0" borderId="0" xfId="0" applyFont="1" applyAlignment="1">
      <alignment vertical="center"/>
    </xf>
    <xf numFmtId="0" fontId="144" fillId="0" borderId="92" xfId="0" applyFont="1" applyBorder="1" applyAlignment="1">
      <alignment vertical="center"/>
    </xf>
    <xf numFmtId="0" fontId="144" fillId="0" borderId="84" xfId="0" applyFont="1" applyBorder="1" applyAlignment="1">
      <alignment vertical="center"/>
    </xf>
    <xf numFmtId="0" fontId="144" fillId="0" borderId="0" xfId="0" applyFont="1" applyAlignment="1">
      <alignment vertical="center"/>
    </xf>
    <xf numFmtId="0" fontId="146" fillId="0" borderId="0" xfId="1442" applyFont="1" applyAlignment="1">
      <alignment vertical="center"/>
    </xf>
    <xf numFmtId="0" fontId="147" fillId="0" borderId="96" xfId="1442" applyFont="1" applyBorder="1" applyAlignment="1">
      <alignment vertical="center"/>
    </xf>
    <xf numFmtId="0" fontId="147" fillId="0" borderId="93" xfId="1442" applyFont="1" applyBorder="1" applyAlignment="1">
      <alignment vertical="center"/>
    </xf>
    <xf numFmtId="0" fontId="148" fillId="0" borderId="93" xfId="1442" applyFont="1" applyBorder="1" applyAlignment="1">
      <alignment vertical="center"/>
    </xf>
    <xf numFmtId="0" fontId="144" fillId="0" borderId="93" xfId="0" applyFont="1" applyBorder="1" applyAlignment="1">
      <alignment vertical="center"/>
    </xf>
    <xf numFmtId="0" fontId="144" fillId="0" borderId="94" xfId="0" applyFont="1" applyBorder="1" applyAlignment="1">
      <alignment vertical="center"/>
    </xf>
    <xf numFmtId="0" fontId="144" fillId="0" borderId="85" xfId="0" applyFont="1" applyBorder="1" applyAlignment="1">
      <alignment vertical="center"/>
    </xf>
    <xf numFmtId="0" fontId="144" fillId="0" borderId="86" xfId="0" applyFont="1" applyBorder="1" applyAlignment="1">
      <alignment vertical="center"/>
    </xf>
    <xf numFmtId="0" fontId="144" fillId="0" borderId="86" xfId="1436" applyFont="1" applyBorder="1">
      <alignment vertical="center"/>
    </xf>
    <xf numFmtId="0" fontId="144" fillId="0" borderId="87" xfId="0" applyFont="1" applyBorder="1" applyAlignment="1">
      <alignment vertical="center"/>
    </xf>
    <xf numFmtId="0" fontId="150" fillId="0" borderId="95" xfId="1442" applyFont="1" applyBorder="1" applyAlignment="1">
      <alignment vertical="center"/>
    </xf>
    <xf numFmtId="0" fontId="150" fillId="0" borderId="0" xfId="1442" applyFont="1" applyAlignment="1">
      <alignment vertical="center"/>
    </xf>
    <xf numFmtId="0" fontId="150" fillId="0" borderId="92" xfId="1442" applyFont="1" applyBorder="1" applyAlignment="1">
      <alignment vertical="center"/>
    </xf>
    <xf numFmtId="0" fontId="125" fillId="0" borderId="100" xfId="0" applyFont="1" applyBorder="1" applyAlignment="1">
      <alignment horizontal="center" vertical="center" shrinkToFit="1"/>
    </xf>
    <xf numFmtId="0" fontId="125" fillId="0" borderId="98" xfId="0" applyFont="1" applyBorder="1" applyAlignment="1">
      <alignment horizontal="center" vertical="center" shrinkToFit="1"/>
    </xf>
    <xf numFmtId="0" fontId="125" fillId="0" borderId="102" xfId="0" applyFont="1" applyBorder="1" applyAlignment="1">
      <alignment horizontal="center" vertical="center" shrinkToFit="1"/>
    </xf>
    <xf numFmtId="0" fontId="117" fillId="0" borderId="47" xfId="0" applyFont="1" applyBorder="1" applyAlignment="1">
      <alignment vertical="center" shrinkToFit="1"/>
    </xf>
    <xf numFmtId="0" fontId="124" fillId="0" borderId="47" xfId="0" applyFont="1" applyBorder="1"/>
    <xf numFmtId="0" fontId="117" fillId="0" borderId="62" xfId="0" applyFont="1" applyBorder="1" applyAlignment="1">
      <alignment horizontal="center" vertical="center" wrapText="1"/>
    </xf>
    <xf numFmtId="0" fontId="124" fillId="0" borderId="61" xfId="0" applyFont="1" applyBorder="1"/>
    <xf numFmtId="234" fontId="118" fillId="31" borderId="47" xfId="1267" applyNumberFormat="1" applyFont="1" applyFill="1" applyBorder="1" applyAlignment="1">
      <alignment horizontal="center" vertical="center" shrinkToFit="1"/>
    </xf>
    <xf numFmtId="0" fontId="117" fillId="0" borderId="62" xfId="0" applyFont="1" applyBorder="1" applyAlignment="1">
      <alignment horizontal="center" vertical="center"/>
    </xf>
    <xf numFmtId="0" fontId="116" fillId="0" borderId="29" xfId="0" applyFont="1" applyBorder="1" applyAlignment="1">
      <alignment horizontal="center" vertical="center"/>
    </xf>
    <xf numFmtId="0" fontId="125" fillId="0" borderId="29" xfId="0" applyFont="1" applyBorder="1" applyAlignment="1">
      <alignment horizontal="center" vertical="center"/>
    </xf>
    <xf numFmtId="0" fontId="116" fillId="36" borderId="101" xfId="0" applyFont="1" applyFill="1" applyBorder="1" applyAlignment="1">
      <alignment horizontal="center" vertical="center"/>
    </xf>
    <xf numFmtId="0" fontId="116" fillId="36" borderId="98" xfId="0" applyFont="1" applyFill="1" applyBorder="1" applyAlignment="1">
      <alignment horizontal="center" vertical="center"/>
    </xf>
    <xf numFmtId="0" fontId="116" fillId="36" borderId="99" xfId="0" applyFont="1" applyFill="1" applyBorder="1" applyAlignment="1">
      <alignment horizontal="center" vertical="center"/>
    </xf>
    <xf numFmtId="0" fontId="125" fillId="0" borderId="100" xfId="0" applyFont="1" applyBorder="1" applyAlignment="1">
      <alignment horizontal="center" vertical="center"/>
    </xf>
    <xf numFmtId="0" fontId="125" fillId="0" borderId="98" xfId="0" applyFont="1" applyBorder="1" applyAlignment="1">
      <alignment horizontal="center" vertical="center"/>
    </xf>
    <xf numFmtId="0" fontId="116" fillId="36" borderId="33" xfId="0" applyFont="1" applyFill="1" applyBorder="1" applyAlignment="1">
      <alignment horizontal="center" vertical="center" wrapText="1"/>
    </xf>
    <xf numFmtId="0" fontId="116" fillId="36" borderId="34" xfId="0" applyFont="1" applyFill="1" applyBorder="1" applyAlignment="1">
      <alignment horizontal="center" vertical="center" wrapText="1"/>
    </xf>
    <xf numFmtId="0" fontId="116" fillId="36" borderId="103" xfId="0" applyFont="1" applyFill="1" applyBorder="1" applyAlignment="1">
      <alignment horizontal="center" vertical="center" wrapText="1"/>
    </xf>
    <xf numFmtId="0" fontId="116" fillId="36" borderId="40" xfId="0" applyFont="1" applyFill="1" applyBorder="1" applyAlignment="1">
      <alignment horizontal="center" vertical="center"/>
    </xf>
    <xf numFmtId="0" fontId="116" fillId="36" borderId="41" xfId="0" applyFont="1" applyFill="1" applyBorder="1" applyAlignment="1">
      <alignment horizontal="center" vertical="center"/>
    </xf>
    <xf numFmtId="0" fontId="116" fillId="36" borderId="42" xfId="0" applyFont="1" applyFill="1" applyBorder="1" applyAlignment="1">
      <alignment horizontal="center" vertical="center"/>
    </xf>
    <xf numFmtId="0" fontId="117" fillId="0" borderId="52" xfId="0" applyFont="1" applyBorder="1" applyAlignment="1">
      <alignment horizontal="center" vertical="center"/>
    </xf>
    <xf numFmtId="0" fontId="117" fillId="0" borderId="51" xfId="0" applyFont="1" applyBorder="1" applyAlignment="1">
      <alignment horizontal="center" vertical="center"/>
    </xf>
    <xf numFmtId="0" fontId="117" fillId="0" borderId="50" xfId="0" applyFont="1" applyBorder="1" applyAlignment="1">
      <alignment horizontal="center" vertical="center"/>
    </xf>
    <xf numFmtId="0" fontId="116" fillId="36" borderId="97" xfId="0" applyFont="1" applyFill="1" applyBorder="1" applyAlignment="1">
      <alignment horizontal="center" vertical="center"/>
    </xf>
    <xf numFmtId="0" fontId="116" fillId="36" borderId="30" xfId="0" applyFont="1" applyFill="1" applyBorder="1" applyAlignment="1">
      <alignment horizontal="center" vertical="center"/>
    </xf>
    <xf numFmtId="0" fontId="116" fillId="36" borderId="7" xfId="0" applyFont="1" applyFill="1" applyBorder="1" applyAlignment="1">
      <alignment horizontal="center" vertical="center"/>
    </xf>
    <xf numFmtId="0" fontId="116" fillId="36" borderId="105" xfId="0" applyFont="1" applyFill="1" applyBorder="1" applyAlignment="1">
      <alignment horizontal="center" vertical="center"/>
    </xf>
    <xf numFmtId="0" fontId="125" fillId="0" borderId="106" xfId="0" applyFont="1" applyBorder="1" applyAlignment="1">
      <alignment horizontal="center" vertical="center"/>
    </xf>
    <xf numFmtId="0" fontId="125" fillId="0" borderId="107" xfId="0" applyFont="1" applyBorder="1" applyAlignment="1">
      <alignment horizontal="center" vertical="center"/>
    </xf>
    <xf numFmtId="0" fontId="125" fillId="0" borderId="7" xfId="0" applyFont="1" applyBorder="1" applyAlignment="1">
      <alignment horizontal="center" vertical="center"/>
    </xf>
    <xf numFmtId="0" fontId="125" fillId="0" borderId="108" xfId="0" applyFont="1" applyBorder="1" applyAlignment="1">
      <alignment horizontal="center" vertical="center"/>
    </xf>
    <xf numFmtId="0" fontId="116" fillId="36" borderId="14" xfId="0" applyFont="1" applyFill="1" applyBorder="1" applyAlignment="1">
      <alignment horizontal="center" vertical="center"/>
    </xf>
    <xf numFmtId="0" fontId="124" fillId="0" borderId="109" xfId="0" applyFont="1" applyBorder="1"/>
    <xf numFmtId="0" fontId="124" fillId="0" borderId="110" xfId="0" applyFont="1" applyBorder="1"/>
    <xf numFmtId="0" fontId="119" fillId="0" borderId="61" xfId="0" applyFont="1" applyBorder="1" applyAlignment="1">
      <alignment horizontal="left" vertical="center" shrinkToFit="1"/>
    </xf>
    <xf numFmtId="0" fontId="117" fillId="0" borderId="0" xfId="0" applyFont="1" applyAlignment="1">
      <alignment horizontal="center" vertical="center"/>
    </xf>
    <xf numFmtId="0" fontId="117" fillId="0" borderId="66" xfId="0" applyFont="1" applyBorder="1" applyAlignment="1">
      <alignment horizontal="center" vertical="center"/>
    </xf>
    <xf numFmtId="0" fontId="117" fillId="0" borderId="67" xfId="0" applyFont="1" applyBorder="1" applyAlignment="1">
      <alignment horizontal="center" vertical="center"/>
    </xf>
    <xf numFmtId="31" fontId="123" fillId="0" borderId="47" xfId="0" applyNumberFormat="1" applyFont="1" applyBorder="1" applyAlignment="1">
      <alignment horizontal="left" vertical="center" wrapText="1"/>
    </xf>
    <xf numFmtId="0" fontId="117" fillId="0" borderId="47" xfId="0" applyFont="1" applyBorder="1" applyAlignment="1">
      <alignment horizontal="left" vertical="center" wrapText="1"/>
    </xf>
    <xf numFmtId="0" fontId="117" fillId="0" borderId="61" xfId="0" applyFont="1" applyBorder="1" applyAlignment="1">
      <alignment horizontal="left" vertical="center" wrapText="1"/>
    </xf>
    <xf numFmtId="0" fontId="116" fillId="36" borderId="111" xfId="0" applyFont="1" applyFill="1" applyBorder="1" applyAlignment="1">
      <alignment horizontal="center" vertical="center"/>
    </xf>
    <xf numFmtId="0" fontId="124" fillId="0" borderId="112" xfId="0" applyFont="1" applyBorder="1"/>
    <xf numFmtId="0" fontId="124" fillId="0" borderId="113" xfId="0" applyFont="1" applyBorder="1"/>
    <xf numFmtId="0" fontId="125" fillId="0" borderId="43" xfId="0" applyFont="1" applyBorder="1" applyAlignment="1">
      <alignment horizontal="center" vertical="center"/>
    </xf>
    <xf numFmtId="0" fontId="125" fillId="0" borderId="41" xfId="0" applyFont="1" applyBorder="1" applyAlignment="1">
      <alignment horizontal="center" vertical="center"/>
    </xf>
    <xf numFmtId="0" fontId="127" fillId="0" borderId="83" xfId="0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33" fillId="0" borderId="7" xfId="0" applyFont="1" applyBorder="1" applyAlignment="1">
      <alignment horizontal="center" vertical="center"/>
    </xf>
    <xf numFmtId="0" fontId="116" fillId="36" borderId="35" xfId="0" applyFont="1" applyFill="1" applyBorder="1" applyAlignment="1">
      <alignment horizontal="center" vertical="center"/>
    </xf>
    <xf numFmtId="0" fontId="116" fillId="36" borderId="36" xfId="0" applyFont="1" applyFill="1" applyBorder="1" applyAlignment="1">
      <alignment horizontal="center" vertical="center"/>
    </xf>
    <xf numFmtId="0" fontId="116" fillId="36" borderId="37" xfId="0" applyFont="1" applyFill="1" applyBorder="1" applyAlignment="1">
      <alignment horizontal="center" vertical="center"/>
    </xf>
    <xf numFmtId="0" fontId="125" fillId="0" borderId="38" xfId="0" applyFont="1" applyBorder="1" applyAlignment="1">
      <alignment horizontal="center" vertical="center"/>
    </xf>
    <xf numFmtId="0" fontId="125" fillId="0" borderId="36" xfId="0" applyFont="1" applyBorder="1" applyAlignment="1">
      <alignment horizontal="center" vertical="center"/>
    </xf>
    <xf numFmtId="0" fontId="125" fillId="0" borderId="39" xfId="0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1" fillId="0" borderId="7" xfId="0" applyFont="1" applyBorder="1" applyAlignment="1">
      <alignment horizontal="center" vertical="center"/>
    </xf>
    <xf numFmtId="0" fontId="116" fillId="36" borderId="60" xfId="0" applyFont="1" applyFill="1" applyBorder="1" applyAlignment="1">
      <alignment horizontal="center" vertical="center"/>
    </xf>
    <xf numFmtId="0" fontId="125" fillId="0" borderId="44" xfId="0" applyFont="1" applyBorder="1" applyAlignment="1">
      <alignment horizontal="center" vertical="center"/>
    </xf>
    <xf numFmtId="0" fontId="123" fillId="0" borderId="0" xfId="0" applyFont="1" applyAlignment="1">
      <alignment horizontal="left" vertical="center"/>
    </xf>
    <xf numFmtId="0" fontId="114" fillId="0" borderId="104" xfId="0" applyFont="1" applyBorder="1" applyAlignment="1">
      <alignment horizontal="center" vertical="center" wrapText="1"/>
    </xf>
    <xf numFmtId="0" fontId="115" fillId="0" borderId="0" xfId="0" applyFont="1" applyAlignment="1">
      <alignment vertical="center"/>
    </xf>
    <xf numFmtId="0" fontId="124" fillId="0" borderId="84" xfId="0" applyFont="1" applyBorder="1"/>
    <xf numFmtId="0" fontId="117" fillId="36" borderId="61" xfId="0" applyFont="1" applyFill="1" applyBorder="1" applyAlignment="1">
      <alignment horizontal="left" vertical="center" wrapText="1"/>
    </xf>
    <xf numFmtId="0" fontId="126" fillId="35" borderId="50" xfId="0" applyFont="1" applyFill="1" applyBorder="1" applyAlignment="1">
      <alignment horizontal="right" vertical="center" wrapText="1"/>
    </xf>
    <xf numFmtId="0" fontId="126" fillId="35" borderId="52" xfId="0" applyFont="1" applyFill="1" applyBorder="1" applyAlignment="1">
      <alignment horizontal="right" vertical="center" wrapText="1"/>
    </xf>
    <xf numFmtId="0" fontId="126" fillId="35" borderId="52" xfId="0" applyFont="1" applyFill="1" applyBorder="1" applyAlignment="1">
      <alignment horizontal="left" vertical="center" wrapText="1"/>
    </xf>
    <xf numFmtId="0" fontId="126" fillId="35" borderId="51" xfId="0" applyFont="1" applyFill="1" applyBorder="1" applyAlignment="1">
      <alignment horizontal="left" vertical="center" wrapText="1"/>
    </xf>
    <xf numFmtId="178" fontId="123" fillId="0" borderId="50" xfId="0" applyNumberFormat="1" applyFont="1" applyBorder="1" applyAlignment="1">
      <alignment horizontal="center" vertical="center" shrinkToFit="1"/>
    </xf>
    <xf numFmtId="178" fontId="117" fillId="0" borderId="52" xfId="0" applyNumberFormat="1" applyFont="1" applyBorder="1" applyAlignment="1">
      <alignment horizontal="center" vertical="center" shrinkToFit="1"/>
    </xf>
    <xf numFmtId="178" fontId="117" fillId="0" borderId="51" xfId="0" applyNumberFormat="1" applyFont="1" applyBorder="1" applyAlignment="1">
      <alignment horizontal="center" vertical="center" shrinkToFit="1"/>
    </xf>
    <xf numFmtId="178" fontId="117" fillId="0" borderId="52" xfId="1267" applyNumberFormat="1" applyFont="1" applyBorder="1" applyAlignment="1">
      <alignment horizontal="right" vertical="center" shrinkToFit="1"/>
    </xf>
    <xf numFmtId="178" fontId="117" fillId="0" borderId="51" xfId="1267" applyNumberFormat="1" applyFont="1" applyBorder="1" applyAlignment="1">
      <alignment horizontal="right" vertical="center" shrinkToFit="1"/>
    </xf>
    <xf numFmtId="0" fontId="126" fillId="35" borderId="50" xfId="0" applyFont="1" applyFill="1" applyBorder="1" applyAlignment="1">
      <alignment horizontal="center" vertical="center"/>
    </xf>
    <xf numFmtId="0" fontId="126" fillId="35" borderId="52" xfId="0" applyFont="1" applyFill="1" applyBorder="1" applyAlignment="1">
      <alignment horizontal="center" vertical="center"/>
    </xf>
    <xf numFmtId="180" fontId="149" fillId="35" borderId="52" xfId="0" applyNumberFormat="1" applyFont="1" applyFill="1" applyBorder="1" applyAlignment="1">
      <alignment horizontal="center" vertical="center" shrinkToFit="1"/>
    </xf>
    <xf numFmtId="0" fontId="0" fillId="0" borderId="52" xfId="0" applyBorder="1"/>
    <xf numFmtId="178" fontId="126" fillId="35" borderId="52" xfId="0" applyNumberFormat="1" applyFont="1" applyFill="1" applyBorder="1" applyAlignment="1">
      <alignment horizontal="center" vertical="center" shrinkToFit="1"/>
    </xf>
    <xf numFmtId="178" fontId="123" fillId="0" borderId="50" xfId="0" applyNumberFormat="1" applyFont="1" applyBorder="1" applyAlignment="1">
      <alignment horizontal="center" vertical="center"/>
    </xf>
    <xf numFmtId="178" fontId="117" fillId="0" borderId="52" xfId="0" applyNumberFormat="1" applyFont="1" applyBorder="1" applyAlignment="1">
      <alignment horizontal="center" vertical="center"/>
    </xf>
    <xf numFmtId="178" fontId="117" fillId="0" borderId="51" xfId="0" applyNumberFormat="1" applyFont="1" applyBorder="1" applyAlignment="1">
      <alignment horizontal="center" vertical="center"/>
    </xf>
    <xf numFmtId="0" fontId="117" fillId="0" borderId="68" xfId="0" applyFont="1" applyBorder="1" applyAlignment="1">
      <alignment horizontal="center" vertical="center"/>
    </xf>
    <xf numFmtId="0" fontId="117" fillId="0" borderId="69" xfId="0" applyFont="1" applyBorder="1" applyAlignment="1">
      <alignment horizontal="center" vertical="center"/>
    </xf>
    <xf numFmtId="0" fontId="117" fillId="0" borderId="70" xfId="0" applyFont="1" applyBorder="1" applyAlignment="1">
      <alignment horizontal="center" vertical="center"/>
    </xf>
    <xf numFmtId="178" fontId="117" fillId="0" borderId="69" xfId="1267" applyNumberFormat="1" applyFont="1" applyBorder="1" applyAlignment="1">
      <alignment horizontal="center" vertical="center" shrinkToFit="1"/>
    </xf>
    <xf numFmtId="178" fontId="117" fillId="0" borderId="70" xfId="1267" applyNumberFormat="1" applyFont="1" applyBorder="1" applyAlignment="1">
      <alignment horizontal="center" vertical="center" shrinkToFit="1"/>
    </xf>
    <xf numFmtId="178" fontId="112" fillId="35" borderId="78" xfId="0" applyNumberFormat="1" applyFont="1" applyFill="1" applyBorder="1" applyAlignment="1">
      <alignment horizontal="center" vertical="center" shrinkToFit="1"/>
    </xf>
    <xf numFmtId="178" fontId="112" fillId="35" borderId="91" xfId="0" applyNumberFormat="1" applyFont="1" applyFill="1" applyBorder="1" applyAlignment="1">
      <alignment horizontal="center" vertical="center" shrinkToFit="1"/>
    </xf>
    <xf numFmtId="178" fontId="112" fillId="35" borderId="79" xfId="0" applyNumberFormat="1" applyFont="1" applyFill="1" applyBorder="1" applyAlignment="1">
      <alignment horizontal="center" vertical="center" shrinkToFit="1"/>
    </xf>
    <xf numFmtId="178" fontId="117" fillId="0" borderId="69" xfId="1267" applyNumberFormat="1" applyFont="1" applyBorder="1" applyAlignment="1">
      <alignment horizontal="right" vertical="center" shrinkToFit="1"/>
    </xf>
    <xf numFmtId="178" fontId="117" fillId="0" borderId="70" xfId="1267" applyNumberFormat="1" applyFont="1" applyBorder="1" applyAlignment="1">
      <alignment horizontal="right" vertical="center" shrinkToFit="1"/>
    </xf>
    <xf numFmtId="0" fontId="112" fillId="35" borderId="50" xfId="0" applyFont="1" applyFill="1" applyBorder="1" applyAlignment="1">
      <alignment horizontal="center" vertical="center"/>
    </xf>
    <xf numFmtId="0" fontId="112" fillId="35" borderId="52" xfId="0" applyFont="1" applyFill="1" applyBorder="1" applyAlignment="1">
      <alignment horizontal="center" vertical="center"/>
    </xf>
    <xf numFmtId="0" fontId="112" fillId="35" borderId="51" xfId="0" applyFont="1" applyFill="1" applyBorder="1" applyAlignment="1">
      <alignment horizontal="center" vertical="center"/>
    </xf>
    <xf numFmtId="178" fontId="113" fillId="0" borderId="68" xfId="0" applyNumberFormat="1" applyFont="1" applyBorder="1" applyAlignment="1">
      <alignment horizontal="center" vertical="center" wrapText="1" shrinkToFit="1"/>
    </xf>
    <xf numFmtId="178" fontId="113" fillId="0" borderId="69" xfId="0" applyNumberFormat="1" applyFont="1" applyBorder="1" applyAlignment="1">
      <alignment horizontal="center" vertical="center" wrapText="1" shrinkToFit="1"/>
    </xf>
    <xf numFmtId="178" fontId="113" fillId="0" borderId="70" xfId="0" applyNumberFormat="1" applyFont="1" applyBorder="1" applyAlignment="1">
      <alignment horizontal="center" vertical="center" wrapText="1" shrinkToFit="1"/>
    </xf>
    <xf numFmtId="178" fontId="113" fillId="0" borderId="78" xfId="0" applyNumberFormat="1" applyFont="1" applyBorder="1" applyAlignment="1">
      <alignment horizontal="center" vertical="center" wrapText="1" shrinkToFit="1"/>
    </xf>
    <xf numFmtId="178" fontId="113" fillId="0" borderId="91" xfId="0" applyNumberFormat="1" applyFont="1" applyBorder="1" applyAlignment="1">
      <alignment horizontal="center" vertical="center" wrapText="1" shrinkToFit="1"/>
    </xf>
    <xf numFmtId="178" fontId="113" fillId="0" borderId="79" xfId="0" applyNumberFormat="1" applyFont="1" applyBorder="1" applyAlignment="1">
      <alignment horizontal="center" vertical="center" wrapText="1" shrinkToFit="1"/>
    </xf>
    <xf numFmtId="0" fontId="118" fillId="36" borderId="50" xfId="0" applyFont="1" applyFill="1" applyBorder="1" applyAlignment="1">
      <alignment horizontal="center" vertical="center"/>
    </xf>
    <xf numFmtId="0" fontId="118" fillId="36" borderId="52" xfId="0" applyFont="1" applyFill="1" applyBorder="1" applyAlignment="1">
      <alignment horizontal="center" vertical="center"/>
    </xf>
    <xf numFmtId="178" fontId="118" fillId="36" borderId="49" xfId="0" applyNumberFormat="1" applyFont="1" applyFill="1" applyBorder="1" applyAlignment="1">
      <alignment horizontal="right" vertical="center"/>
    </xf>
    <xf numFmtId="0" fontId="0" fillId="0" borderId="51" xfId="0" applyBorder="1"/>
    <xf numFmtId="178" fontId="118" fillId="36" borderId="49" xfId="0" applyNumberFormat="1" applyFont="1" applyFill="1" applyBorder="1" applyAlignment="1">
      <alignment horizontal="center" vertical="center" shrinkToFit="1"/>
    </xf>
    <xf numFmtId="0" fontId="0" fillId="0" borderId="52" xfId="0" applyBorder="1" applyAlignment="1">
      <alignment horizontal="center"/>
    </xf>
    <xf numFmtId="0" fontId="0" fillId="0" borderId="51" xfId="0" applyBorder="1" applyAlignment="1">
      <alignment horizontal="center"/>
    </xf>
    <xf numFmtId="178" fontId="123" fillId="0" borderId="68" xfId="0" applyNumberFormat="1" applyFont="1" applyBorder="1" applyAlignment="1">
      <alignment horizontal="center" vertical="center" shrinkToFit="1"/>
    </xf>
    <xf numFmtId="178" fontId="117" fillId="0" borderId="69" xfId="0" applyNumberFormat="1" applyFont="1" applyBorder="1" applyAlignment="1">
      <alignment horizontal="center" vertical="center" shrinkToFit="1"/>
    </xf>
    <xf numFmtId="178" fontId="117" fillId="0" borderId="70" xfId="0" applyNumberFormat="1" applyFont="1" applyBorder="1" applyAlignment="1">
      <alignment horizontal="center" vertical="center" shrinkToFit="1"/>
    </xf>
    <xf numFmtId="0" fontId="118" fillId="36" borderId="51" xfId="0" applyFont="1" applyFill="1" applyBorder="1" applyAlignment="1">
      <alignment horizontal="center" vertical="center"/>
    </xf>
    <xf numFmtId="0" fontId="118" fillId="33" borderId="76" xfId="0" applyFont="1" applyFill="1" applyBorder="1" applyAlignment="1">
      <alignment horizontal="left" vertical="center"/>
    </xf>
    <xf numFmtId="0" fontId="118" fillId="33" borderId="77" xfId="0" applyFont="1" applyFill="1" applyBorder="1" applyAlignment="1">
      <alignment horizontal="left" vertical="center"/>
    </xf>
    <xf numFmtId="0" fontId="118" fillId="33" borderId="75" xfId="0" applyFont="1" applyFill="1" applyBorder="1" applyAlignment="1">
      <alignment horizontal="left" vertical="center"/>
    </xf>
    <xf numFmtId="0" fontId="137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178" fontId="140" fillId="0" borderId="0" xfId="0" applyNumberFormat="1" applyFont="1" applyAlignment="1">
      <alignment horizontal="center" vertical="center" shrinkToFit="1"/>
    </xf>
    <xf numFmtId="41" fontId="140" fillId="0" borderId="0" xfId="1267" applyFont="1" applyBorder="1" applyAlignment="1">
      <alignment horizontal="center" vertical="center" shrinkToFit="1"/>
    </xf>
    <xf numFmtId="0" fontId="124" fillId="0" borderId="80" xfId="0" applyFont="1" applyBorder="1" applyAlignment="1">
      <alignment horizontal="center" vertical="center"/>
    </xf>
    <xf numFmtId="0" fontId="124" fillId="0" borderId="81" xfId="0" applyFont="1" applyBorder="1" applyAlignment="1">
      <alignment horizontal="center" vertical="center"/>
    </xf>
    <xf numFmtId="0" fontId="124" fillId="0" borderId="82" xfId="0" applyFont="1" applyBorder="1" applyAlignment="1">
      <alignment horizontal="center" vertical="center"/>
    </xf>
    <xf numFmtId="0" fontId="128" fillId="0" borderId="83" xfId="0" applyFont="1" applyBorder="1" applyAlignment="1">
      <alignment horizontal="right"/>
    </xf>
    <xf numFmtId="0" fontId="128" fillId="0" borderId="0" xfId="0" applyFont="1" applyAlignment="1">
      <alignment horizontal="right"/>
    </xf>
    <xf numFmtId="181" fontId="123" fillId="0" borderId="0" xfId="0" applyNumberFormat="1" applyFont="1" applyAlignment="1">
      <alignment horizontal="left" vertical="center"/>
    </xf>
    <xf numFmtId="181" fontId="117" fillId="0" borderId="0" xfId="0" applyNumberFormat="1" applyFont="1" applyAlignment="1">
      <alignment horizontal="left" vertical="center"/>
    </xf>
    <xf numFmtId="0" fontId="117" fillId="36" borderId="75" xfId="0" applyFont="1" applyFill="1" applyBorder="1" applyAlignment="1">
      <alignment horizontal="left" vertical="center" wrapText="1"/>
    </xf>
    <xf numFmtId="0" fontId="124" fillId="0" borderId="77" xfId="0" applyFont="1" applyBorder="1"/>
    <xf numFmtId="0" fontId="124" fillId="0" borderId="75" xfId="0" applyFont="1" applyBorder="1"/>
    <xf numFmtId="31" fontId="136" fillId="0" borderId="0" xfId="0" applyNumberFormat="1" applyFont="1" applyAlignment="1">
      <alignment horizontal="center" vertical="center"/>
    </xf>
    <xf numFmtId="181" fontId="117" fillId="0" borderId="47" xfId="0" applyNumberFormat="1" applyFont="1" applyBorder="1" applyAlignment="1">
      <alignment horizontal="left" vertical="center" wrapText="1"/>
    </xf>
    <xf numFmtId="0" fontId="101" fillId="30" borderId="54" xfId="0" applyFont="1" applyFill="1" applyBorder="1" applyAlignment="1">
      <alignment horizontal="left" vertical="center"/>
    </xf>
    <xf numFmtId="0" fontId="101" fillId="30" borderId="71" xfId="0" applyFont="1" applyFill="1" applyBorder="1" applyAlignment="1">
      <alignment horizontal="left" vertical="center"/>
    </xf>
    <xf numFmtId="0" fontId="100" fillId="0" borderId="0" xfId="0" applyFont="1" applyAlignment="1">
      <alignment horizontal="center" vertical="center"/>
    </xf>
    <xf numFmtId="0" fontId="101" fillId="33" borderId="54" xfId="0" applyFont="1" applyFill="1" applyBorder="1" applyAlignment="1">
      <alignment horizontal="left" vertical="center"/>
    </xf>
    <xf numFmtId="0" fontId="101" fillId="33" borderId="71" xfId="0" applyFont="1" applyFill="1" applyBorder="1" applyAlignment="1">
      <alignment horizontal="left" vertical="center"/>
    </xf>
    <xf numFmtId="0" fontId="105" fillId="33" borderId="51" xfId="0" applyFont="1" applyFill="1" applyBorder="1" applyAlignment="1">
      <alignment horizontal="center" vertical="center"/>
    </xf>
    <xf numFmtId="0" fontId="105" fillId="33" borderId="49" xfId="0" applyFont="1" applyFill="1" applyBorder="1" applyAlignment="1">
      <alignment horizontal="center" vertical="center"/>
    </xf>
    <xf numFmtId="0" fontId="105" fillId="30" borderId="51" xfId="0" applyFont="1" applyFill="1" applyBorder="1" applyAlignment="1">
      <alignment horizontal="center" vertical="center"/>
    </xf>
    <xf numFmtId="0" fontId="105" fillId="30" borderId="49" xfId="0" applyFont="1" applyFill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7" fillId="0" borderId="79" xfId="0" applyFont="1" applyBorder="1" applyAlignment="1">
      <alignment horizontal="center" vertical="center"/>
    </xf>
    <xf numFmtId="0" fontId="97" fillId="0" borderId="51" xfId="0" applyFont="1" applyBorder="1" applyAlignment="1">
      <alignment horizontal="center" vertical="center"/>
    </xf>
    <xf numFmtId="0" fontId="97" fillId="0" borderId="49" xfId="0" applyFont="1" applyBorder="1" applyAlignment="1">
      <alignment horizontal="center" vertical="center"/>
    </xf>
    <xf numFmtId="0" fontId="108" fillId="30" borderId="64" xfId="0" applyFont="1" applyFill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/>
    </xf>
    <xf numFmtId="0" fontId="97" fillId="0" borderId="0" xfId="0" applyFont="1" applyAlignment="1">
      <alignment horizontal="left" vertical="center" wrapText="1"/>
    </xf>
    <xf numFmtId="0" fontId="97" fillId="0" borderId="51" xfId="0" applyFont="1" applyBorder="1" applyAlignment="1">
      <alignment horizontal="center" vertical="center" wrapText="1"/>
    </xf>
    <xf numFmtId="0" fontId="97" fillId="0" borderId="49" xfId="0" applyFont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97" fillId="0" borderId="89" xfId="0" applyFont="1" applyBorder="1" applyAlignment="1">
      <alignment horizontal="center" vertical="center"/>
    </xf>
    <xf numFmtId="0" fontId="111" fillId="33" borderId="69" xfId="0" applyFont="1" applyFill="1" applyBorder="1" applyAlignment="1">
      <alignment horizontal="center" vertical="center" wrapText="1"/>
    </xf>
    <xf numFmtId="0" fontId="111" fillId="33" borderId="0" xfId="0" applyFont="1" applyFill="1" applyAlignment="1">
      <alignment horizontal="center" vertical="center"/>
    </xf>
    <xf numFmtId="0" fontId="111" fillId="33" borderId="48" xfId="0" applyFont="1" applyFill="1" applyBorder="1" applyAlignment="1">
      <alignment horizontal="center" vertical="center"/>
    </xf>
    <xf numFmtId="231" fontId="111" fillId="33" borderId="73" xfId="0" applyNumberFormat="1" applyFont="1" applyFill="1" applyBorder="1" applyAlignment="1">
      <alignment horizontal="center" vertical="center" shrinkToFit="1"/>
    </xf>
    <xf numFmtId="231" fontId="111" fillId="33" borderId="74" xfId="0" applyNumberFormat="1" applyFont="1" applyFill="1" applyBorder="1" applyAlignment="1">
      <alignment horizontal="center" vertical="center" shrinkToFit="1"/>
    </xf>
    <xf numFmtId="0" fontId="98" fillId="37" borderId="51" xfId="0" applyFont="1" applyFill="1" applyBorder="1" applyAlignment="1">
      <alignment horizontal="center" vertical="center"/>
    </xf>
    <xf numFmtId="0" fontId="98" fillId="37" borderId="49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/>
    </xf>
    <xf numFmtId="0" fontId="68" fillId="0" borderId="45" xfId="0" applyFont="1" applyBorder="1" applyAlignment="1">
      <alignment horizontal="center" vertical="center"/>
    </xf>
    <xf numFmtId="0" fontId="68" fillId="31" borderId="46" xfId="0" applyFont="1" applyFill="1" applyBorder="1" applyAlignment="1">
      <alignment horizontal="center" vertical="center"/>
    </xf>
    <xf numFmtId="0" fontId="68" fillId="31" borderId="17" xfId="0" applyFont="1" applyFill="1" applyBorder="1" applyAlignment="1">
      <alignment horizontal="center" vertical="center"/>
    </xf>
    <xf numFmtId="2" fontId="68" fillId="31" borderId="46" xfId="0" applyNumberFormat="1" applyFont="1" applyFill="1" applyBorder="1" applyAlignment="1">
      <alignment horizontal="center" vertical="center"/>
    </xf>
    <xf numFmtId="2" fontId="68" fillId="31" borderId="17" xfId="0" applyNumberFormat="1" applyFont="1" applyFill="1" applyBorder="1" applyAlignment="1">
      <alignment horizontal="center" vertical="center"/>
    </xf>
  </cellXfs>
  <cellStyles count="1469">
    <cellStyle name="          _x000d__x000a_386grabber=vga.3gr_x000d__x000a_" xfId="1" xr:uid="{00000000-0005-0000-0000-000000000000}"/>
    <cellStyle name="_x000d_$" xfId="2" xr:uid="{00000000-0005-0000-0000-000001000000}"/>
    <cellStyle name="_x000d_;&amp;?;" xfId="3" xr:uid="{00000000-0005-0000-0000-000002000000}"/>
    <cellStyle name="&quot;" xfId="4" xr:uid="{00000000-0005-0000-0000-000003000000}"/>
    <cellStyle name="#,##0" xfId="5" xr:uid="{00000000-0005-0000-0000-000004000000}"/>
    <cellStyle name="$" xfId="6" xr:uid="{00000000-0005-0000-0000-000005000000}"/>
    <cellStyle name="$_db진흥" xfId="7" xr:uid="{00000000-0005-0000-0000-000006000000}"/>
    <cellStyle name="$_SE40" xfId="8" xr:uid="{00000000-0005-0000-0000-000007000000}"/>
    <cellStyle name="$_견적2" xfId="9" xr:uid="{00000000-0005-0000-0000-000008000000}"/>
    <cellStyle name="$_기아" xfId="10" xr:uid="{00000000-0005-0000-0000-000009000000}"/>
    <cellStyle name="??&amp;O?&amp;H?_x0008__x000f__x0007_?_x0007__x0001__x0001_" xfId="11" xr:uid="{00000000-0005-0000-0000-00000A000000}"/>
    <cellStyle name="??&amp;O?&amp;H?_x0008_??_x0007__x0001__x0001_" xfId="12" xr:uid="{00000000-0005-0000-0000-00000B000000}"/>
    <cellStyle name="?W?_laroux" xfId="13" xr:uid="{00000000-0005-0000-0000-00000C000000}"/>
    <cellStyle name="?화 [0]_투자재원" xfId="14" xr:uid="{00000000-0005-0000-0000-00000D000000}"/>
    <cellStyle name="_07(종)두산힐스빌" xfId="15" xr:uid="{00000000-0005-0000-0000-00000E000000}"/>
    <cellStyle name="_07(종)미켈란쉘르빌" xfId="16" xr:uid="{00000000-0005-0000-0000-00000F000000}"/>
    <cellStyle name="_08(작)가락 삼성 래미안 아파트" xfId="17" xr:uid="{00000000-0005-0000-0000-000010000000}"/>
    <cellStyle name="_08(작)아이언프라자" xfId="18" xr:uid="{00000000-0005-0000-0000-000011000000}"/>
    <cellStyle name="_08(종) 영통 삼성래미안 아파트" xfId="19" xr:uid="{00000000-0005-0000-0000-000012000000}"/>
    <cellStyle name="_08(종)뚝섬중앙하이츠빌" xfId="20" xr:uid="{00000000-0005-0000-0000-000013000000}"/>
    <cellStyle name="_08(종)한승미메이드아파트" xfId="21" xr:uid="{00000000-0005-0000-0000-000014000000}"/>
    <cellStyle name="_08(종)허브원" xfId="22" xr:uid="{00000000-0005-0000-0000-000015000000}"/>
    <cellStyle name="_09(작)SH빌딩" xfId="23" xr:uid="{00000000-0005-0000-0000-000016000000}"/>
    <cellStyle name="_09(작)다보빌딩" xfId="24" xr:uid="{00000000-0005-0000-0000-000017000000}"/>
    <cellStyle name="_09(작)산본성당" xfId="25" xr:uid="{00000000-0005-0000-0000-000018000000}"/>
    <cellStyle name="_09(종)동작쌍떼빌아파트" xfId="26" xr:uid="{00000000-0005-0000-0000-000019000000}"/>
    <cellStyle name="_09(종)르네상스타워" xfId="27" xr:uid="{00000000-0005-0000-0000-00001A000000}"/>
    <cellStyle name="_09(종)수지두산위브아파트" xfId="28" xr:uid="{00000000-0005-0000-0000-00001B000000}"/>
    <cellStyle name="_09(종)인계선경1차" xfId="29" xr:uid="{00000000-0005-0000-0000-00001C000000}"/>
    <cellStyle name="_09(종)인덕원성당" xfId="30" xr:uid="{00000000-0005-0000-0000-00001D000000}"/>
    <cellStyle name="_09(종)종로대성스카이렉스" xfId="31" xr:uid="{00000000-0005-0000-0000-00001E000000}"/>
    <cellStyle name="_09(종)태영데시앙1차" xfId="32" xr:uid="{00000000-0005-0000-0000-00001F000000}"/>
    <cellStyle name="_09(종)호계아크로리버" xfId="33" xr:uid="{00000000-0005-0000-0000-000020000000}"/>
    <cellStyle name="_2000하반기 견적서 ( 미씨860오피스텔 탑시티, 청우, 유일, 동부,경진 )" xfId="34" xr:uid="{00000000-0005-0000-0000-000021000000}"/>
    <cellStyle name="_2000하반기 견적서 ( 미씨860오피스텔 탑시티, 청우, 유일, 동부,경진 )_07(종)두산힐스빌" xfId="35" xr:uid="{00000000-0005-0000-0000-000022000000}"/>
    <cellStyle name="_2000하반기 견적서 ( 미씨860오피스텔 탑시티, 청우, 유일, 동부,경진 )_07(종)미켈란쉘르빌" xfId="36" xr:uid="{00000000-0005-0000-0000-000023000000}"/>
    <cellStyle name="_2000하반기 견적서 ( 미씨860오피스텔 탑시티, 청우, 유일, 동부,경진 )_08(종) 영통 삼성래미안 아파트" xfId="37" xr:uid="{00000000-0005-0000-0000-000024000000}"/>
    <cellStyle name="_2000하반기 견적서 ( 미씨860오피스텔 탑시티, 청우, 유일, 동부,경진 )_08(종)뚝섬중앙하이츠빌" xfId="38" xr:uid="{00000000-0005-0000-0000-000025000000}"/>
    <cellStyle name="_2000하반기 견적서 ( 미씨860오피스텔 탑시티, 청우, 유일, 동부,경진 )_08(종)한승미메이드아파트" xfId="39" xr:uid="{00000000-0005-0000-0000-000026000000}"/>
    <cellStyle name="_2000하반기 견적서 ( 미씨860오피스텔 탑시티, 청우, 유일, 동부,경진 )_08(종)허브원" xfId="40" xr:uid="{00000000-0005-0000-0000-000027000000}"/>
    <cellStyle name="_2000하반기 견적서 ( 미씨860오피스텔 탑시티, 청우, 유일, 동부,경진 )_09(종)르네상스타워" xfId="41" xr:uid="{00000000-0005-0000-0000-000028000000}"/>
    <cellStyle name="_2000하반기 견적서 ( 미씨860오피스텔 탑시티, 청우, 유일, 동부,경진 )_09(종)인덕원성당" xfId="42" xr:uid="{00000000-0005-0000-0000-000029000000}"/>
    <cellStyle name="_2000하반기 견적서 ( 미씨860오피스텔 탑시티, 청우, 유일, 동부,경진 )_3호원본" xfId="43" xr:uid="{00000000-0005-0000-0000-00002A000000}"/>
    <cellStyle name="_2000하반기 견적서 ( 미씨860오피스텔 탑시티, 청우, 유일, 동부,경진 )_Book1" xfId="44" xr:uid="{00000000-0005-0000-0000-00002B000000}"/>
    <cellStyle name="_2000하반기 견적서 ( 미씨860오피스텔 탑시티, 청우, 유일, 동부,경진 )_Book1_08(종)허브원" xfId="45" xr:uid="{00000000-0005-0000-0000-00002C000000}"/>
    <cellStyle name="_2002 상반기 견적서 ( 롯데 분당점 공정표 )" xfId="46" xr:uid="{00000000-0005-0000-0000-00002D000000}"/>
    <cellStyle name="_2002 상반기 견적서 ( 롯데 분당점 공정표 )_07(종)두산힐스빌" xfId="47" xr:uid="{00000000-0005-0000-0000-00002E000000}"/>
    <cellStyle name="_2002 상반기 견적서 ( 롯데 분당점 공정표 )_07(종)미켈란쉘르빌" xfId="48" xr:uid="{00000000-0005-0000-0000-00002F000000}"/>
    <cellStyle name="_2002 상반기 견적서 ( 롯데 분당점 공정표 )_08(종) 영통 삼성래미안 아파트" xfId="49" xr:uid="{00000000-0005-0000-0000-000030000000}"/>
    <cellStyle name="_2002 상반기 견적서 ( 롯데 분당점 공정표 )_08(종)뚝섬중앙하이츠빌" xfId="50" xr:uid="{00000000-0005-0000-0000-000031000000}"/>
    <cellStyle name="_2002 상반기 견적서 ( 롯데 분당점 공정표 )_08(종)한승미메이드아파트" xfId="51" xr:uid="{00000000-0005-0000-0000-000032000000}"/>
    <cellStyle name="_2002 상반기 견적서 ( 롯데 분당점 공정표 )_08(종)허브원" xfId="52" xr:uid="{00000000-0005-0000-0000-000033000000}"/>
    <cellStyle name="_2002 상반기 견적서 ( 롯데 분당점 공정표 )_09(종)르네상스타워" xfId="53" xr:uid="{00000000-0005-0000-0000-000034000000}"/>
    <cellStyle name="_2002 상반기 견적서 ( 롯데 분당점 공정표 )_09(종)인덕원성당" xfId="54" xr:uid="{00000000-0005-0000-0000-000035000000}"/>
    <cellStyle name="_2002 상반기 견적서 ( 롯데 분당점 공정표 )_3호원본" xfId="55" xr:uid="{00000000-0005-0000-0000-000036000000}"/>
    <cellStyle name="_2002 상반기 견적서 ( 롯데 분당점 공정표 )_Book1" xfId="56" xr:uid="{00000000-0005-0000-0000-000037000000}"/>
    <cellStyle name="_2002 상반기 견적서 ( 롯데 분당점 공정표 )_Book1_08(종)허브원" xfId="57" xr:uid="{00000000-0005-0000-0000-000038000000}"/>
    <cellStyle name="_2차5회(사정)" xfId="58" xr:uid="{00000000-0005-0000-0000-000039000000}"/>
    <cellStyle name="_2호원본" xfId="59" xr:uid="{00000000-0005-0000-0000-00003A000000}"/>
    <cellStyle name="_3호원본" xfId="60" xr:uid="{00000000-0005-0000-0000-00003B000000}"/>
    <cellStyle name="_9월" xfId="61" xr:uid="{00000000-0005-0000-0000-00003C000000}"/>
    <cellStyle name="_Book1" xfId="62" xr:uid="{00000000-0005-0000-0000-00003D000000}"/>
    <cellStyle name="_Book1_08(종)허브원" xfId="63" xr:uid="{00000000-0005-0000-0000-00003E000000}"/>
    <cellStyle name="_SANDFILTER" xfId="64" xr:uid="{00000000-0005-0000-0000-00003F000000}"/>
    <cellStyle name="_강내투찰내역서-x" xfId="65" xr:uid="{00000000-0005-0000-0000-000040000000}"/>
    <cellStyle name="_강내투찰내역서-x_왜관-태평건설" xfId="66" xr:uid="{00000000-0005-0000-0000-000041000000}"/>
    <cellStyle name="_고산투찰" xfId="67" xr:uid="{00000000-0005-0000-0000-000042000000}"/>
    <cellStyle name="_광릉투찰" xfId="68" xr:uid="{00000000-0005-0000-0000-000043000000}"/>
    <cellStyle name="_광릉투찰_왜관-태평건설" xfId="69" xr:uid="{00000000-0005-0000-0000-000044000000}"/>
    <cellStyle name="_광주평동투찰" xfId="70" xr:uid="{00000000-0005-0000-0000-000045000000}"/>
    <cellStyle name="_광주평동투찰3" xfId="71" xr:uid="{00000000-0005-0000-0000-000046000000}"/>
    <cellStyle name="_광주평동품의1" xfId="72" xr:uid="{00000000-0005-0000-0000-000047000000}"/>
    <cellStyle name="_구문소철암투찰" xfId="73" xr:uid="{00000000-0005-0000-0000-000048000000}"/>
    <cellStyle name="_구문소철암투찰_광릉투찰" xfId="74" xr:uid="{00000000-0005-0000-0000-000049000000}"/>
    <cellStyle name="_구문소철암투찰_광릉투찰_왜관-태평건설" xfId="75" xr:uid="{00000000-0005-0000-0000-00004A000000}"/>
    <cellStyle name="_구문소철암투찰_왜관-태평건설" xfId="76" xr:uid="{00000000-0005-0000-0000-00004B000000}"/>
    <cellStyle name="_국도23호선영암연소지구내역서" xfId="77" xr:uid="{00000000-0005-0000-0000-00004C000000}"/>
    <cellStyle name="_국도38호선통리지구내역서" xfId="78" xr:uid="{00000000-0005-0000-0000-00004D000000}"/>
    <cellStyle name="_국도42호선여량지구오르막차로" xfId="79" xr:uid="{00000000-0005-0000-0000-00004E000000}"/>
    <cellStyle name="_금천청소년수련관(토목林)" xfId="80" xr:uid="{00000000-0005-0000-0000-00004F000000}"/>
    <cellStyle name="_농소투찰(32152)" xfId="81" xr:uid="{00000000-0005-0000-0000-000050000000}"/>
    <cellStyle name="_농소투찰(32152)_왜관-태평건설" xfId="82" xr:uid="{00000000-0005-0000-0000-000051000000}"/>
    <cellStyle name="_대곡이설(투찰)" xfId="83" xr:uid="{00000000-0005-0000-0000-000052000000}"/>
    <cellStyle name="_대곡이설(투찰)_1" xfId="84" xr:uid="{00000000-0005-0000-0000-000053000000}"/>
    <cellStyle name="_대곡이설(투찰)_1_경찰서-터미널간도로(투찰)②" xfId="85" xr:uid="{00000000-0005-0000-0000-000054000000}"/>
    <cellStyle name="_대곡이설(투찰)_1_경찰서-터미널간도로(투찰)②_마현생창(동양고속)" xfId="86" xr:uid="{00000000-0005-0000-0000-000055000000}"/>
    <cellStyle name="_대곡이설(투찰)_1_경찰서-터미널간도로(투찰)②_마현생창(동양고속)_왜관-태평건설" xfId="87" xr:uid="{00000000-0005-0000-0000-000056000000}"/>
    <cellStyle name="_대곡이설(투찰)_1_경찰서-터미널간도로(투찰)②_왜관-태평건설" xfId="88" xr:uid="{00000000-0005-0000-0000-000057000000}"/>
    <cellStyle name="_대곡이설(투찰)_1_마현생창(동양고속)" xfId="89" xr:uid="{00000000-0005-0000-0000-000058000000}"/>
    <cellStyle name="_대곡이설(투찰)_1_마현생창(동양고속)_왜관-태평건설" xfId="90" xr:uid="{00000000-0005-0000-0000-000059000000}"/>
    <cellStyle name="_대곡이설(투찰)_1_봉무지방산업단지도로(투찰)②" xfId="91" xr:uid="{00000000-0005-0000-0000-00005A000000}"/>
    <cellStyle name="_대곡이설(투찰)_1_봉무지방산업단지도로(투찰)②_마현생창(동양고속)" xfId="92" xr:uid="{00000000-0005-0000-0000-00005B000000}"/>
    <cellStyle name="_대곡이설(투찰)_1_봉무지방산업단지도로(투찰)②_마현생창(동양고속)_왜관-태평건설" xfId="93" xr:uid="{00000000-0005-0000-0000-00005C000000}"/>
    <cellStyle name="_대곡이설(투찰)_1_봉무지방산업단지도로(투찰)②_왜관-태평건설" xfId="94" xr:uid="{00000000-0005-0000-0000-00005D000000}"/>
    <cellStyle name="_대곡이설(투찰)_1_봉무지방산업단지도로(투찰)②+0.250%" xfId="95" xr:uid="{00000000-0005-0000-0000-00005E000000}"/>
    <cellStyle name="_대곡이설(투찰)_1_봉무지방산업단지도로(투찰)②+0.250%_마현생창(동양고속)" xfId="96" xr:uid="{00000000-0005-0000-0000-00005F000000}"/>
    <cellStyle name="_대곡이설(투찰)_1_봉무지방산업단지도로(투찰)②+0.250%_마현생창(동양고속)_왜관-태평건설" xfId="97" xr:uid="{00000000-0005-0000-0000-000060000000}"/>
    <cellStyle name="_대곡이설(투찰)_1_봉무지방산업단지도로(투찰)②+0.250%_왜관-태평건설" xfId="98" xr:uid="{00000000-0005-0000-0000-000061000000}"/>
    <cellStyle name="_대곡이설(투찰)_1_왜관-태평건설" xfId="99" xr:uid="{00000000-0005-0000-0000-000062000000}"/>
    <cellStyle name="_대곡이설(투찰)_1_합덕-신례원(2공구)투찰" xfId="100" xr:uid="{00000000-0005-0000-0000-000063000000}"/>
    <cellStyle name="_대곡이설(투찰)_1_합덕-신례원(2공구)투찰_경찰서-터미널간도로(투찰)②" xfId="101" xr:uid="{00000000-0005-0000-0000-000064000000}"/>
    <cellStyle name="_대곡이설(투찰)_1_합덕-신례원(2공구)투찰_경찰서-터미널간도로(투찰)②_마현생창(동양고속)" xfId="102" xr:uid="{00000000-0005-0000-0000-000065000000}"/>
    <cellStyle name="_대곡이설(투찰)_1_합덕-신례원(2공구)투찰_경찰서-터미널간도로(투찰)②_마현생창(동양고속)_왜관-태평건설" xfId="103" xr:uid="{00000000-0005-0000-0000-000066000000}"/>
    <cellStyle name="_대곡이설(투찰)_1_합덕-신례원(2공구)투찰_경찰서-터미널간도로(투찰)②_왜관-태평건설" xfId="104" xr:uid="{00000000-0005-0000-0000-000067000000}"/>
    <cellStyle name="_대곡이설(투찰)_1_합덕-신례원(2공구)투찰_마현생창(동양고속)" xfId="105" xr:uid="{00000000-0005-0000-0000-000068000000}"/>
    <cellStyle name="_대곡이설(투찰)_1_합덕-신례원(2공구)투찰_마현생창(동양고속)_왜관-태평건설" xfId="106" xr:uid="{00000000-0005-0000-0000-000069000000}"/>
    <cellStyle name="_대곡이설(투찰)_1_합덕-신례원(2공구)투찰_봉무지방산업단지도로(투찰)②" xfId="107" xr:uid="{00000000-0005-0000-0000-00006A000000}"/>
    <cellStyle name="_대곡이설(투찰)_1_합덕-신례원(2공구)투찰_봉무지방산업단지도로(투찰)②_마현생창(동양고속)" xfId="108" xr:uid="{00000000-0005-0000-0000-00006B000000}"/>
    <cellStyle name="_대곡이설(투찰)_1_합덕-신례원(2공구)투찰_봉무지방산업단지도로(투찰)②_마현생창(동양고속)_왜관-태평건설" xfId="109" xr:uid="{00000000-0005-0000-0000-00006C000000}"/>
    <cellStyle name="_대곡이설(투찰)_1_합덕-신례원(2공구)투찰_봉무지방산업단지도로(투찰)②_왜관-태평건설" xfId="110" xr:uid="{00000000-0005-0000-0000-00006D000000}"/>
    <cellStyle name="_대곡이설(투찰)_1_합덕-신례원(2공구)투찰_봉무지방산업단지도로(투찰)②+0.250%" xfId="111" xr:uid="{00000000-0005-0000-0000-00006E000000}"/>
    <cellStyle name="_대곡이설(투찰)_1_합덕-신례원(2공구)투찰_봉무지방산업단지도로(투찰)②+0.250%_마현생창(동양고속)" xfId="112" xr:uid="{00000000-0005-0000-0000-00006F000000}"/>
    <cellStyle name="_대곡이설(투찰)_1_합덕-신례원(2공구)투찰_봉무지방산업단지도로(투찰)②+0.250%_마현생창(동양고속)_왜관-태평건설" xfId="113" xr:uid="{00000000-0005-0000-0000-000070000000}"/>
    <cellStyle name="_대곡이설(투찰)_1_합덕-신례원(2공구)투찰_봉무지방산업단지도로(투찰)②+0.250%_왜관-태평건설" xfId="114" xr:uid="{00000000-0005-0000-0000-000071000000}"/>
    <cellStyle name="_대곡이설(투찰)_1_합덕-신례원(2공구)투찰_왜관-태평건설" xfId="115" xr:uid="{00000000-0005-0000-0000-000072000000}"/>
    <cellStyle name="_대곡이설(투찰)_1_합덕-신례원(2공구)투찰_합덕-신례원(2공구)투찰" xfId="116" xr:uid="{00000000-0005-0000-0000-000073000000}"/>
    <cellStyle name="_대곡이설(투찰)_1_합덕-신례원(2공구)투찰_합덕-신례원(2공구)투찰_경찰서-터미널간도로(투찰)②" xfId="117" xr:uid="{00000000-0005-0000-0000-000074000000}"/>
    <cellStyle name="_대곡이설(투찰)_1_합덕-신례원(2공구)투찰_합덕-신례원(2공구)투찰_경찰서-터미널간도로(투찰)②_마현생창(동양고속)" xfId="118" xr:uid="{00000000-0005-0000-0000-000075000000}"/>
    <cellStyle name="_대곡이설(투찰)_1_합덕-신례원(2공구)투찰_합덕-신례원(2공구)투찰_경찰서-터미널간도로(투찰)②_마현생창(동양고속)_왜관-태평건설" xfId="119" xr:uid="{00000000-0005-0000-0000-000076000000}"/>
    <cellStyle name="_대곡이설(투찰)_1_합덕-신례원(2공구)투찰_합덕-신례원(2공구)투찰_경찰서-터미널간도로(투찰)②_왜관-태평건설" xfId="120" xr:uid="{00000000-0005-0000-0000-000077000000}"/>
    <cellStyle name="_대곡이설(투찰)_1_합덕-신례원(2공구)투찰_합덕-신례원(2공구)투찰_마현생창(동양고속)" xfId="121" xr:uid="{00000000-0005-0000-0000-000078000000}"/>
    <cellStyle name="_대곡이설(투찰)_1_합덕-신례원(2공구)투찰_합덕-신례원(2공구)투찰_마현생창(동양고속)_왜관-태평건설" xfId="122" xr:uid="{00000000-0005-0000-0000-000079000000}"/>
    <cellStyle name="_대곡이설(투찰)_1_합덕-신례원(2공구)투찰_합덕-신례원(2공구)투찰_봉무지방산업단지도로(투찰)②" xfId="123" xr:uid="{00000000-0005-0000-0000-00007A000000}"/>
    <cellStyle name="_대곡이설(투찰)_1_합덕-신례원(2공구)투찰_합덕-신례원(2공구)투찰_봉무지방산업단지도로(투찰)②_마현생창(동양고속)" xfId="124" xr:uid="{00000000-0005-0000-0000-00007B000000}"/>
    <cellStyle name="_대곡이설(투찰)_1_합덕-신례원(2공구)투찰_합덕-신례원(2공구)투찰_봉무지방산업단지도로(투찰)②_마현생창(동양고속)_왜관-태평건설" xfId="125" xr:uid="{00000000-0005-0000-0000-00007C000000}"/>
    <cellStyle name="_대곡이설(투찰)_1_합덕-신례원(2공구)투찰_합덕-신례원(2공구)투찰_봉무지방산업단지도로(투찰)②_왜관-태평건설" xfId="126" xr:uid="{00000000-0005-0000-0000-00007D000000}"/>
    <cellStyle name="_대곡이설(투찰)_1_합덕-신례원(2공구)투찰_합덕-신례원(2공구)투찰_봉무지방산업단지도로(투찰)②+0.250%" xfId="127" xr:uid="{00000000-0005-0000-0000-00007E000000}"/>
    <cellStyle name="_대곡이설(투찰)_1_합덕-신례원(2공구)투찰_합덕-신례원(2공구)투찰_봉무지방산업단지도로(투찰)②+0.250%_마현생창(동양고속)" xfId="128" xr:uid="{00000000-0005-0000-0000-00007F000000}"/>
    <cellStyle name="_대곡이설(투찰)_1_합덕-신례원(2공구)투찰_합덕-신례원(2공구)투찰_봉무지방산업단지도로(투찰)②+0.250%_마현생창(동양고속)_왜관-태평건설" xfId="129" xr:uid="{00000000-0005-0000-0000-000080000000}"/>
    <cellStyle name="_대곡이설(투찰)_1_합덕-신례원(2공구)투찰_합덕-신례원(2공구)투찰_봉무지방산업단지도로(투찰)②+0.250%_왜관-태평건설" xfId="130" xr:uid="{00000000-0005-0000-0000-000081000000}"/>
    <cellStyle name="_대곡이설(투찰)_1_합덕-신례원(2공구)투찰_합덕-신례원(2공구)투찰_왜관-태평건설" xfId="131" xr:uid="{00000000-0005-0000-0000-000082000000}"/>
    <cellStyle name="_대곡이설(투찰)_경찰서-터미널간도로(투찰)②" xfId="132" xr:uid="{00000000-0005-0000-0000-000083000000}"/>
    <cellStyle name="_대곡이설(투찰)_경찰서-터미널간도로(투찰)②_마현생창(동양고속)" xfId="133" xr:uid="{00000000-0005-0000-0000-000084000000}"/>
    <cellStyle name="_대곡이설(투찰)_경찰서-터미널간도로(투찰)②_마현생창(동양고속)_왜관-태평건설" xfId="134" xr:uid="{00000000-0005-0000-0000-000085000000}"/>
    <cellStyle name="_대곡이설(투찰)_경찰서-터미널간도로(투찰)②_왜관-태평건설" xfId="135" xr:uid="{00000000-0005-0000-0000-000086000000}"/>
    <cellStyle name="_대곡이설(투찰)_도덕-고흥도로(투찰)" xfId="136" xr:uid="{00000000-0005-0000-0000-000087000000}"/>
    <cellStyle name="_대곡이설(투찰)_도덕-고흥도로(투찰)_경찰서-터미널간도로(투찰)②" xfId="137" xr:uid="{00000000-0005-0000-0000-000088000000}"/>
    <cellStyle name="_대곡이설(투찰)_도덕-고흥도로(투찰)_경찰서-터미널간도로(투찰)②_마현생창(동양고속)" xfId="138" xr:uid="{00000000-0005-0000-0000-000089000000}"/>
    <cellStyle name="_대곡이설(투찰)_도덕-고흥도로(투찰)_경찰서-터미널간도로(투찰)②_마현생창(동양고속)_왜관-태평건설" xfId="139" xr:uid="{00000000-0005-0000-0000-00008A000000}"/>
    <cellStyle name="_대곡이설(투찰)_도덕-고흥도로(투찰)_경찰서-터미널간도로(투찰)②_왜관-태평건설" xfId="140" xr:uid="{00000000-0005-0000-0000-00008B000000}"/>
    <cellStyle name="_대곡이설(투찰)_도덕-고흥도로(투찰)_마현생창(동양고속)" xfId="141" xr:uid="{00000000-0005-0000-0000-00008C000000}"/>
    <cellStyle name="_대곡이설(투찰)_도덕-고흥도로(투찰)_마현생창(동양고속)_왜관-태평건설" xfId="142" xr:uid="{00000000-0005-0000-0000-00008D000000}"/>
    <cellStyle name="_대곡이설(투찰)_도덕-고흥도로(투찰)_봉무지방산업단지도로(투찰)②" xfId="143" xr:uid="{00000000-0005-0000-0000-00008E000000}"/>
    <cellStyle name="_대곡이설(투찰)_도덕-고흥도로(투찰)_봉무지방산업단지도로(투찰)②_마현생창(동양고속)" xfId="144" xr:uid="{00000000-0005-0000-0000-00008F000000}"/>
    <cellStyle name="_대곡이설(투찰)_도덕-고흥도로(투찰)_봉무지방산업단지도로(투찰)②_마현생창(동양고속)_왜관-태평건설" xfId="145" xr:uid="{00000000-0005-0000-0000-000090000000}"/>
    <cellStyle name="_대곡이설(투찰)_도덕-고흥도로(투찰)_봉무지방산업단지도로(투찰)②_왜관-태평건설" xfId="146" xr:uid="{00000000-0005-0000-0000-000091000000}"/>
    <cellStyle name="_대곡이설(투찰)_도덕-고흥도로(투찰)_봉무지방산업단지도로(투찰)②+0.250%" xfId="147" xr:uid="{00000000-0005-0000-0000-000092000000}"/>
    <cellStyle name="_대곡이설(투찰)_도덕-고흥도로(투찰)_봉무지방산업단지도로(투찰)②+0.250%_마현생창(동양고속)" xfId="148" xr:uid="{00000000-0005-0000-0000-000093000000}"/>
    <cellStyle name="_대곡이설(투찰)_도덕-고흥도로(투찰)_봉무지방산업단지도로(투찰)②+0.250%_마현생창(동양고속)_왜관-태평건설" xfId="149" xr:uid="{00000000-0005-0000-0000-000094000000}"/>
    <cellStyle name="_대곡이설(투찰)_도덕-고흥도로(투찰)_봉무지방산업단지도로(투찰)②+0.250%_왜관-태평건설" xfId="150" xr:uid="{00000000-0005-0000-0000-000095000000}"/>
    <cellStyle name="_대곡이설(투찰)_도덕-고흥도로(투찰)_왜관-태평건설" xfId="151" xr:uid="{00000000-0005-0000-0000-000096000000}"/>
    <cellStyle name="_대곡이설(투찰)_도덕-고흥도로(투찰)_합덕-신례원(2공구)투찰" xfId="152" xr:uid="{00000000-0005-0000-0000-000097000000}"/>
    <cellStyle name="_대곡이설(투찰)_도덕-고흥도로(투찰)_합덕-신례원(2공구)투찰_경찰서-터미널간도로(투찰)②" xfId="153" xr:uid="{00000000-0005-0000-0000-000098000000}"/>
    <cellStyle name="_대곡이설(투찰)_도덕-고흥도로(투찰)_합덕-신례원(2공구)투찰_경찰서-터미널간도로(투찰)②_마현생창(동양고속)" xfId="154" xr:uid="{00000000-0005-0000-0000-000099000000}"/>
    <cellStyle name="_대곡이설(투찰)_도덕-고흥도로(투찰)_합덕-신례원(2공구)투찰_경찰서-터미널간도로(투찰)②_마현생창(동양고속)_왜관-태평건설" xfId="155" xr:uid="{00000000-0005-0000-0000-00009A000000}"/>
    <cellStyle name="_대곡이설(투찰)_도덕-고흥도로(투찰)_합덕-신례원(2공구)투찰_경찰서-터미널간도로(투찰)②_왜관-태평건설" xfId="156" xr:uid="{00000000-0005-0000-0000-00009B000000}"/>
    <cellStyle name="_대곡이설(투찰)_도덕-고흥도로(투찰)_합덕-신례원(2공구)투찰_마현생창(동양고속)" xfId="157" xr:uid="{00000000-0005-0000-0000-00009C000000}"/>
    <cellStyle name="_대곡이설(투찰)_도덕-고흥도로(투찰)_합덕-신례원(2공구)투찰_마현생창(동양고속)_왜관-태평건설" xfId="158" xr:uid="{00000000-0005-0000-0000-00009D000000}"/>
    <cellStyle name="_대곡이설(투찰)_도덕-고흥도로(투찰)_합덕-신례원(2공구)투찰_봉무지방산업단지도로(투찰)②" xfId="159" xr:uid="{00000000-0005-0000-0000-00009E000000}"/>
    <cellStyle name="_대곡이설(투찰)_도덕-고흥도로(투찰)_합덕-신례원(2공구)투찰_봉무지방산업단지도로(투찰)②_마현생창(동양고속)" xfId="160" xr:uid="{00000000-0005-0000-0000-00009F000000}"/>
    <cellStyle name="_대곡이설(투찰)_도덕-고흥도로(투찰)_합덕-신례원(2공구)투찰_봉무지방산업단지도로(투찰)②_마현생창(동양고속)_왜관-태평건설" xfId="161" xr:uid="{00000000-0005-0000-0000-0000A0000000}"/>
    <cellStyle name="_대곡이설(투찰)_도덕-고흥도로(투찰)_합덕-신례원(2공구)투찰_봉무지방산업단지도로(투찰)②_왜관-태평건설" xfId="162" xr:uid="{00000000-0005-0000-0000-0000A1000000}"/>
    <cellStyle name="_대곡이설(투찰)_도덕-고흥도로(투찰)_합덕-신례원(2공구)투찰_봉무지방산업단지도로(투찰)②+0.250%" xfId="163" xr:uid="{00000000-0005-0000-0000-0000A2000000}"/>
    <cellStyle name="_대곡이설(투찰)_도덕-고흥도로(투찰)_합덕-신례원(2공구)투찰_봉무지방산업단지도로(투찰)②+0.250%_마현생창(동양고속)" xfId="164" xr:uid="{00000000-0005-0000-0000-0000A3000000}"/>
    <cellStyle name="_대곡이설(투찰)_도덕-고흥도로(투찰)_합덕-신례원(2공구)투찰_봉무지방산업단지도로(투찰)②+0.250%_마현생창(동양고속)_왜관-태평건설" xfId="165" xr:uid="{00000000-0005-0000-0000-0000A4000000}"/>
    <cellStyle name="_대곡이설(투찰)_도덕-고흥도로(투찰)_합덕-신례원(2공구)투찰_봉무지방산업단지도로(투찰)②+0.250%_왜관-태평건설" xfId="166" xr:uid="{00000000-0005-0000-0000-0000A5000000}"/>
    <cellStyle name="_대곡이설(투찰)_도덕-고흥도로(투찰)_합덕-신례원(2공구)투찰_왜관-태평건설" xfId="167" xr:uid="{00000000-0005-0000-0000-0000A6000000}"/>
    <cellStyle name="_대곡이설(투찰)_도덕-고흥도로(투찰)_합덕-신례원(2공구)투찰_합덕-신례원(2공구)투찰" xfId="168" xr:uid="{00000000-0005-0000-0000-0000A7000000}"/>
    <cellStyle name="_대곡이설(투찰)_도덕-고흥도로(투찰)_합덕-신례원(2공구)투찰_합덕-신례원(2공구)투찰_경찰서-터미널간도로(투찰)②" xfId="169" xr:uid="{00000000-0005-0000-0000-0000A8000000}"/>
    <cellStyle name="_대곡이설(투찰)_도덕-고흥도로(투찰)_합덕-신례원(2공구)투찰_합덕-신례원(2공구)투찰_경찰서-터미널간도로(투찰)②_마현생창(동양고속)" xfId="170" xr:uid="{00000000-0005-0000-0000-0000A9000000}"/>
    <cellStyle name="_대곡이설(투찰)_도덕-고흥도로(투찰)_합덕-신례원(2공구)투찰_합덕-신례원(2공구)투찰_경찰서-터미널간도로(투찰)②_마현생창(동양고속)_왜관-태평건설" xfId="171" xr:uid="{00000000-0005-0000-0000-0000AA000000}"/>
    <cellStyle name="_대곡이설(투찰)_도덕-고흥도로(투찰)_합덕-신례원(2공구)투찰_합덕-신례원(2공구)투찰_경찰서-터미널간도로(투찰)②_왜관-태평건설" xfId="172" xr:uid="{00000000-0005-0000-0000-0000AB000000}"/>
    <cellStyle name="_대곡이설(투찰)_도덕-고흥도로(투찰)_합덕-신례원(2공구)투찰_합덕-신례원(2공구)투찰_마현생창(동양고속)" xfId="173" xr:uid="{00000000-0005-0000-0000-0000AC000000}"/>
    <cellStyle name="_대곡이설(투찰)_도덕-고흥도로(투찰)_합덕-신례원(2공구)투찰_합덕-신례원(2공구)투찰_마현생창(동양고속)_왜관-태평건설" xfId="174" xr:uid="{00000000-0005-0000-0000-0000AD000000}"/>
    <cellStyle name="_대곡이설(투찰)_도덕-고흥도로(투찰)_합덕-신례원(2공구)투찰_합덕-신례원(2공구)투찰_봉무지방산업단지도로(투찰)②" xfId="175" xr:uid="{00000000-0005-0000-0000-0000AE000000}"/>
    <cellStyle name="_대곡이설(투찰)_도덕-고흥도로(투찰)_합덕-신례원(2공구)투찰_합덕-신례원(2공구)투찰_봉무지방산업단지도로(투찰)②_마현생창(동양고속)" xfId="176" xr:uid="{00000000-0005-0000-0000-0000AF000000}"/>
    <cellStyle name="_대곡이설(투찰)_도덕-고흥도로(투찰)_합덕-신례원(2공구)투찰_합덕-신례원(2공구)투찰_봉무지방산업단지도로(투찰)②_마현생창(동양고속)_왜관-태평건설" xfId="177" xr:uid="{00000000-0005-0000-0000-0000B0000000}"/>
    <cellStyle name="_대곡이설(투찰)_도덕-고흥도로(투찰)_합덕-신례원(2공구)투찰_합덕-신례원(2공구)투찰_봉무지방산업단지도로(투찰)②_왜관-태평건설" xfId="178" xr:uid="{00000000-0005-0000-0000-0000B1000000}"/>
    <cellStyle name="_대곡이설(투찰)_도덕-고흥도로(투찰)_합덕-신례원(2공구)투찰_합덕-신례원(2공구)투찰_봉무지방산업단지도로(투찰)②+0.250%" xfId="179" xr:uid="{00000000-0005-0000-0000-0000B2000000}"/>
    <cellStyle name="_대곡이설(투찰)_도덕-고흥도로(투찰)_합덕-신례원(2공구)투찰_합덕-신례원(2공구)투찰_봉무지방산업단지도로(투찰)②+0.250%_마현생창(동양고속)" xfId="180" xr:uid="{00000000-0005-0000-0000-0000B3000000}"/>
    <cellStyle name="_대곡이설(투찰)_도덕-고흥도로(투찰)_합덕-신례원(2공구)투찰_합덕-신례원(2공구)투찰_봉무지방산업단지도로(투찰)②+0.250%_마현생창(동양고속)_왜관-태평건설" xfId="181" xr:uid="{00000000-0005-0000-0000-0000B4000000}"/>
    <cellStyle name="_대곡이설(투찰)_도덕-고흥도로(투찰)_합덕-신례원(2공구)투찰_합덕-신례원(2공구)투찰_봉무지방산업단지도로(투찰)②+0.250%_왜관-태평건설" xfId="182" xr:uid="{00000000-0005-0000-0000-0000B5000000}"/>
    <cellStyle name="_대곡이설(투찰)_도덕-고흥도로(투찰)_합덕-신례원(2공구)투찰_합덕-신례원(2공구)투찰_왜관-태평건설" xfId="183" xr:uid="{00000000-0005-0000-0000-0000B6000000}"/>
    <cellStyle name="_대곡이설(투찰)_마현생창(동양고속)" xfId="184" xr:uid="{00000000-0005-0000-0000-0000B7000000}"/>
    <cellStyle name="_대곡이설(투찰)_마현생창(동양고속)_왜관-태평건설" xfId="185" xr:uid="{00000000-0005-0000-0000-0000B8000000}"/>
    <cellStyle name="_대곡이설(투찰)_봉무지방산업단지도로(투찰)②" xfId="186" xr:uid="{00000000-0005-0000-0000-0000B9000000}"/>
    <cellStyle name="_대곡이설(투찰)_봉무지방산업단지도로(투찰)②_마현생창(동양고속)" xfId="187" xr:uid="{00000000-0005-0000-0000-0000BA000000}"/>
    <cellStyle name="_대곡이설(투찰)_봉무지방산업단지도로(투찰)②_마현생창(동양고속)_왜관-태평건설" xfId="188" xr:uid="{00000000-0005-0000-0000-0000BB000000}"/>
    <cellStyle name="_대곡이설(투찰)_봉무지방산업단지도로(투찰)②_왜관-태평건설" xfId="189" xr:uid="{00000000-0005-0000-0000-0000BC000000}"/>
    <cellStyle name="_대곡이설(투찰)_봉무지방산업단지도로(투찰)②+0.250%" xfId="190" xr:uid="{00000000-0005-0000-0000-0000BD000000}"/>
    <cellStyle name="_대곡이설(투찰)_봉무지방산업단지도로(투찰)②+0.250%_마현생창(동양고속)" xfId="191" xr:uid="{00000000-0005-0000-0000-0000BE000000}"/>
    <cellStyle name="_대곡이설(투찰)_봉무지방산업단지도로(투찰)②+0.250%_마현생창(동양고속)_왜관-태평건설" xfId="192" xr:uid="{00000000-0005-0000-0000-0000BF000000}"/>
    <cellStyle name="_대곡이설(투찰)_봉무지방산업단지도로(투찰)②+0.250%_왜관-태평건설" xfId="193" xr:uid="{00000000-0005-0000-0000-0000C0000000}"/>
    <cellStyle name="_대곡이설(투찰)_안산부대(투찰)⑤" xfId="194" xr:uid="{00000000-0005-0000-0000-0000C1000000}"/>
    <cellStyle name="_대곡이설(투찰)_안산부대(투찰)⑤_경찰서-터미널간도로(투찰)②" xfId="195" xr:uid="{00000000-0005-0000-0000-0000C2000000}"/>
    <cellStyle name="_대곡이설(투찰)_안산부대(투찰)⑤_경찰서-터미널간도로(투찰)②_마현생창(동양고속)" xfId="196" xr:uid="{00000000-0005-0000-0000-0000C3000000}"/>
    <cellStyle name="_대곡이설(투찰)_안산부대(투찰)⑤_경찰서-터미널간도로(투찰)②_마현생창(동양고속)_왜관-태평건설" xfId="197" xr:uid="{00000000-0005-0000-0000-0000C4000000}"/>
    <cellStyle name="_대곡이설(투찰)_안산부대(투찰)⑤_경찰서-터미널간도로(투찰)②_왜관-태평건설" xfId="198" xr:uid="{00000000-0005-0000-0000-0000C5000000}"/>
    <cellStyle name="_대곡이설(투찰)_안산부대(투찰)⑤_마현생창(동양고속)" xfId="199" xr:uid="{00000000-0005-0000-0000-0000C6000000}"/>
    <cellStyle name="_대곡이설(투찰)_안산부대(투찰)⑤_마현생창(동양고속)_왜관-태평건설" xfId="200" xr:uid="{00000000-0005-0000-0000-0000C7000000}"/>
    <cellStyle name="_대곡이설(투찰)_안산부대(투찰)⑤_봉무지방산업단지도로(투찰)②" xfId="201" xr:uid="{00000000-0005-0000-0000-0000C8000000}"/>
    <cellStyle name="_대곡이설(투찰)_안산부대(투찰)⑤_봉무지방산업단지도로(투찰)②_마현생창(동양고속)" xfId="202" xr:uid="{00000000-0005-0000-0000-0000C9000000}"/>
    <cellStyle name="_대곡이설(투찰)_안산부대(투찰)⑤_봉무지방산업단지도로(투찰)②_마현생창(동양고속)_왜관-태평건설" xfId="203" xr:uid="{00000000-0005-0000-0000-0000CA000000}"/>
    <cellStyle name="_대곡이설(투찰)_안산부대(투찰)⑤_봉무지방산업단지도로(투찰)②_왜관-태평건설" xfId="204" xr:uid="{00000000-0005-0000-0000-0000CB000000}"/>
    <cellStyle name="_대곡이설(투찰)_안산부대(투찰)⑤_봉무지방산업단지도로(투찰)②+0.250%" xfId="205" xr:uid="{00000000-0005-0000-0000-0000CC000000}"/>
    <cellStyle name="_대곡이설(투찰)_안산부대(투찰)⑤_봉무지방산업단지도로(투찰)②+0.250%_마현생창(동양고속)" xfId="206" xr:uid="{00000000-0005-0000-0000-0000CD000000}"/>
    <cellStyle name="_대곡이설(투찰)_안산부대(투찰)⑤_봉무지방산업단지도로(투찰)②+0.250%_마현생창(동양고속)_왜관-태평건설" xfId="207" xr:uid="{00000000-0005-0000-0000-0000CE000000}"/>
    <cellStyle name="_대곡이설(투찰)_안산부대(투찰)⑤_봉무지방산업단지도로(투찰)②+0.250%_왜관-태평건설" xfId="208" xr:uid="{00000000-0005-0000-0000-0000CF000000}"/>
    <cellStyle name="_대곡이설(투찰)_안산부대(투찰)⑤_왜관-태평건설" xfId="209" xr:uid="{00000000-0005-0000-0000-0000D0000000}"/>
    <cellStyle name="_대곡이설(투찰)_안산부대(투찰)⑤_합덕-신례원(2공구)투찰" xfId="210" xr:uid="{00000000-0005-0000-0000-0000D1000000}"/>
    <cellStyle name="_대곡이설(투찰)_안산부대(투찰)⑤_합덕-신례원(2공구)투찰_경찰서-터미널간도로(투찰)②" xfId="211" xr:uid="{00000000-0005-0000-0000-0000D2000000}"/>
    <cellStyle name="_대곡이설(투찰)_안산부대(투찰)⑤_합덕-신례원(2공구)투찰_경찰서-터미널간도로(투찰)②_마현생창(동양고속)" xfId="212" xr:uid="{00000000-0005-0000-0000-0000D3000000}"/>
    <cellStyle name="_대곡이설(투찰)_안산부대(투찰)⑤_합덕-신례원(2공구)투찰_경찰서-터미널간도로(투찰)②_마현생창(동양고속)_왜관-태평건설" xfId="213" xr:uid="{00000000-0005-0000-0000-0000D4000000}"/>
    <cellStyle name="_대곡이설(투찰)_안산부대(투찰)⑤_합덕-신례원(2공구)투찰_경찰서-터미널간도로(투찰)②_왜관-태평건설" xfId="214" xr:uid="{00000000-0005-0000-0000-0000D5000000}"/>
    <cellStyle name="_대곡이설(투찰)_안산부대(투찰)⑤_합덕-신례원(2공구)투찰_마현생창(동양고속)" xfId="215" xr:uid="{00000000-0005-0000-0000-0000D6000000}"/>
    <cellStyle name="_대곡이설(투찰)_안산부대(투찰)⑤_합덕-신례원(2공구)투찰_마현생창(동양고속)_왜관-태평건설" xfId="216" xr:uid="{00000000-0005-0000-0000-0000D7000000}"/>
    <cellStyle name="_대곡이설(투찰)_안산부대(투찰)⑤_합덕-신례원(2공구)투찰_봉무지방산업단지도로(투찰)②" xfId="217" xr:uid="{00000000-0005-0000-0000-0000D8000000}"/>
    <cellStyle name="_대곡이설(투찰)_안산부대(투찰)⑤_합덕-신례원(2공구)투찰_봉무지방산업단지도로(투찰)②_마현생창(동양고속)" xfId="218" xr:uid="{00000000-0005-0000-0000-0000D9000000}"/>
    <cellStyle name="_대곡이설(투찰)_안산부대(투찰)⑤_합덕-신례원(2공구)투찰_봉무지방산업단지도로(투찰)②_마현생창(동양고속)_왜관-태평건설" xfId="219" xr:uid="{00000000-0005-0000-0000-0000DA000000}"/>
    <cellStyle name="_대곡이설(투찰)_안산부대(투찰)⑤_합덕-신례원(2공구)투찰_봉무지방산업단지도로(투찰)②_왜관-태평건설" xfId="220" xr:uid="{00000000-0005-0000-0000-0000DB000000}"/>
    <cellStyle name="_대곡이설(투찰)_안산부대(투찰)⑤_합덕-신례원(2공구)투찰_봉무지방산업단지도로(투찰)②+0.250%" xfId="221" xr:uid="{00000000-0005-0000-0000-0000DC000000}"/>
    <cellStyle name="_대곡이설(투찰)_안산부대(투찰)⑤_합덕-신례원(2공구)투찰_봉무지방산업단지도로(투찰)②+0.250%_마현생창(동양고속)" xfId="222" xr:uid="{00000000-0005-0000-0000-0000DD000000}"/>
    <cellStyle name="_대곡이설(투찰)_안산부대(투찰)⑤_합덕-신례원(2공구)투찰_봉무지방산업단지도로(투찰)②+0.250%_마현생창(동양고속)_왜관-태평건설" xfId="223" xr:uid="{00000000-0005-0000-0000-0000DE000000}"/>
    <cellStyle name="_대곡이설(투찰)_안산부대(투찰)⑤_합덕-신례원(2공구)투찰_봉무지방산업단지도로(투찰)②+0.250%_왜관-태평건설" xfId="224" xr:uid="{00000000-0005-0000-0000-0000DF000000}"/>
    <cellStyle name="_대곡이설(투찰)_안산부대(투찰)⑤_합덕-신례원(2공구)투찰_왜관-태평건설" xfId="225" xr:uid="{00000000-0005-0000-0000-0000E0000000}"/>
    <cellStyle name="_대곡이설(투찰)_안산부대(투찰)⑤_합덕-신례원(2공구)투찰_합덕-신례원(2공구)투찰" xfId="226" xr:uid="{00000000-0005-0000-0000-0000E1000000}"/>
    <cellStyle name="_대곡이설(투찰)_안산부대(투찰)⑤_합덕-신례원(2공구)투찰_합덕-신례원(2공구)투찰_경찰서-터미널간도로(투찰)②" xfId="227" xr:uid="{00000000-0005-0000-0000-0000E2000000}"/>
    <cellStyle name="_대곡이설(투찰)_안산부대(투찰)⑤_합덕-신례원(2공구)투찰_합덕-신례원(2공구)투찰_경찰서-터미널간도로(투찰)②_마현생창(동양고속)" xfId="228" xr:uid="{00000000-0005-0000-0000-0000E3000000}"/>
    <cellStyle name="_대곡이설(투찰)_안산부대(투찰)⑤_합덕-신례원(2공구)투찰_합덕-신례원(2공구)투찰_경찰서-터미널간도로(투찰)②_마현생창(동양고속)_왜관-태평건설" xfId="229" xr:uid="{00000000-0005-0000-0000-0000E4000000}"/>
    <cellStyle name="_대곡이설(투찰)_안산부대(투찰)⑤_합덕-신례원(2공구)투찰_합덕-신례원(2공구)투찰_경찰서-터미널간도로(투찰)②_왜관-태평건설" xfId="230" xr:uid="{00000000-0005-0000-0000-0000E5000000}"/>
    <cellStyle name="_대곡이설(투찰)_안산부대(투찰)⑤_합덕-신례원(2공구)투찰_합덕-신례원(2공구)투찰_마현생창(동양고속)" xfId="231" xr:uid="{00000000-0005-0000-0000-0000E6000000}"/>
    <cellStyle name="_대곡이설(투찰)_안산부대(투찰)⑤_합덕-신례원(2공구)투찰_합덕-신례원(2공구)투찰_마현생창(동양고속)_왜관-태평건설" xfId="232" xr:uid="{00000000-0005-0000-0000-0000E7000000}"/>
    <cellStyle name="_대곡이설(투찰)_안산부대(투찰)⑤_합덕-신례원(2공구)투찰_합덕-신례원(2공구)투찰_봉무지방산업단지도로(투찰)②" xfId="233" xr:uid="{00000000-0005-0000-0000-0000E8000000}"/>
    <cellStyle name="_대곡이설(투찰)_안산부대(투찰)⑤_합덕-신례원(2공구)투찰_합덕-신례원(2공구)투찰_봉무지방산업단지도로(투찰)②_마현생창(동양고속)" xfId="234" xr:uid="{00000000-0005-0000-0000-0000E9000000}"/>
    <cellStyle name="_대곡이설(투찰)_안산부대(투찰)⑤_합덕-신례원(2공구)투찰_합덕-신례원(2공구)투찰_봉무지방산업단지도로(투찰)②_마현생창(동양고속)_왜관-태평건설" xfId="235" xr:uid="{00000000-0005-0000-0000-0000EA000000}"/>
    <cellStyle name="_대곡이설(투찰)_안산부대(투찰)⑤_합덕-신례원(2공구)투찰_합덕-신례원(2공구)투찰_봉무지방산업단지도로(투찰)②_왜관-태평건설" xfId="236" xr:uid="{00000000-0005-0000-0000-0000EB000000}"/>
    <cellStyle name="_대곡이설(투찰)_안산부대(투찰)⑤_합덕-신례원(2공구)투찰_합덕-신례원(2공구)투찰_봉무지방산업단지도로(투찰)②+0.250%" xfId="237" xr:uid="{00000000-0005-0000-0000-0000EC000000}"/>
    <cellStyle name="_대곡이설(투찰)_안산부대(투찰)⑤_합덕-신례원(2공구)투찰_합덕-신례원(2공구)투찰_봉무지방산업단지도로(투찰)②+0.250%_마현생창(동양고속)" xfId="238" xr:uid="{00000000-0005-0000-0000-0000ED000000}"/>
    <cellStyle name="_대곡이설(투찰)_안산부대(투찰)⑤_합덕-신례원(2공구)투찰_합덕-신례원(2공구)투찰_봉무지방산업단지도로(투찰)②+0.250%_마현생창(동양고속)_왜관-태평건설" xfId="239" xr:uid="{00000000-0005-0000-0000-0000EE000000}"/>
    <cellStyle name="_대곡이설(투찰)_안산부대(투찰)⑤_합덕-신례원(2공구)투찰_합덕-신례원(2공구)투찰_봉무지방산업단지도로(투찰)②+0.250%_왜관-태평건설" xfId="240" xr:uid="{00000000-0005-0000-0000-0000EF000000}"/>
    <cellStyle name="_대곡이설(투찰)_안산부대(투찰)⑤_합덕-신례원(2공구)투찰_합덕-신례원(2공구)투찰_왜관-태평건설" xfId="241" xr:uid="{00000000-0005-0000-0000-0000F0000000}"/>
    <cellStyle name="_대곡이설(투찰)_양곡부두(투찰)-0.31%" xfId="242" xr:uid="{00000000-0005-0000-0000-0000F1000000}"/>
    <cellStyle name="_대곡이설(투찰)_양곡부두(투찰)-0.31%_경찰서-터미널간도로(투찰)②" xfId="243" xr:uid="{00000000-0005-0000-0000-0000F2000000}"/>
    <cellStyle name="_대곡이설(투찰)_양곡부두(투찰)-0.31%_경찰서-터미널간도로(투찰)②_마현생창(동양고속)" xfId="244" xr:uid="{00000000-0005-0000-0000-0000F3000000}"/>
    <cellStyle name="_대곡이설(투찰)_양곡부두(투찰)-0.31%_경찰서-터미널간도로(투찰)②_마현생창(동양고속)_왜관-태평건설" xfId="245" xr:uid="{00000000-0005-0000-0000-0000F4000000}"/>
    <cellStyle name="_대곡이설(투찰)_양곡부두(투찰)-0.31%_경찰서-터미널간도로(투찰)②_왜관-태평건설" xfId="246" xr:uid="{00000000-0005-0000-0000-0000F5000000}"/>
    <cellStyle name="_대곡이설(투찰)_양곡부두(투찰)-0.31%_마현생창(동양고속)" xfId="247" xr:uid="{00000000-0005-0000-0000-0000F6000000}"/>
    <cellStyle name="_대곡이설(투찰)_양곡부두(투찰)-0.31%_마현생창(동양고속)_왜관-태평건설" xfId="248" xr:uid="{00000000-0005-0000-0000-0000F7000000}"/>
    <cellStyle name="_대곡이설(투찰)_양곡부두(투찰)-0.31%_봉무지방산업단지도로(투찰)②" xfId="249" xr:uid="{00000000-0005-0000-0000-0000F8000000}"/>
    <cellStyle name="_대곡이설(투찰)_양곡부두(투찰)-0.31%_봉무지방산업단지도로(투찰)②_마현생창(동양고속)" xfId="250" xr:uid="{00000000-0005-0000-0000-0000F9000000}"/>
    <cellStyle name="_대곡이설(투찰)_양곡부두(투찰)-0.31%_봉무지방산업단지도로(투찰)②_마현생창(동양고속)_왜관-태평건설" xfId="251" xr:uid="{00000000-0005-0000-0000-0000FA000000}"/>
    <cellStyle name="_대곡이설(투찰)_양곡부두(투찰)-0.31%_봉무지방산업단지도로(투찰)②_왜관-태평건설" xfId="252" xr:uid="{00000000-0005-0000-0000-0000FB000000}"/>
    <cellStyle name="_대곡이설(투찰)_양곡부두(투찰)-0.31%_봉무지방산업단지도로(투찰)②+0.250%" xfId="253" xr:uid="{00000000-0005-0000-0000-0000FC000000}"/>
    <cellStyle name="_대곡이설(투찰)_양곡부두(투찰)-0.31%_봉무지방산업단지도로(투찰)②+0.250%_마현생창(동양고속)" xfId="254" xr:uid="{00000000-0005-0000-0000-0000FD000000}"/>
    <cellStyle name="_대곡이설(투찰)_양곡부두(투찰)-0.31%_봉무지방산업단지도로(투찰)②+0.250%_마현생창(동양고속)_왜관-태평건설" xfId="255" xr:uid="{00000000-0005-0000-0000-0000FE000000}"/>
    <cellStyle name="_대곡이설(투찰)_양곡부두(투찰)-0.31%_봉무지방산업단지도로(투찰)②+0.250%_왜관-태평건설" xfId="256" xr:uid="{00000000-0005-0000-0000-0000FF000000}"/>
    <cellStyle name="_대곡이설(투찰)_양곡부두(투찰)-0.31%_왜관-태평건설" xfId="257" xr:uid="{00000000-0005-0000-0000-000000010000}"/>
    <cellStyle name="_대곡이설(투찰)_양곡부두(투찰)-0.31%_합덕-신례원(2공구)투찰" xfId="258" xr:uid="{00000000-0005-0000-0000-000001010000}"/>
    <cellStyle name="_대곡이설(투찰)_양곡부두(투찰)-0.31%_합덕-신례원(2공구)투찰_경찰서-터미널간도로(투찰)②" xfId="259" xr:uid="{00000000-0005-0000-0000-000002010000}"/>
    <cellStyle name="_대곡이설(투찰)_양곡부두(투찰)-0.31%_합덕-신례원(2공구)투찰_경찰서-터미널간도로(투찰)②_마현생창(동양고속)" xfId="260" xr:uid="{00000000-0005-0000-0000-000003010000}"/>
    <cellStyle name="_대곡이설(투찰)_양곡부두(투찰)-0.31%_합덕-신례원(2공구)투찰_경찰서-터미널간도로(투찰)②_마현생창(동양고속)_왜관-태평건설" xfId="261" xr:uid="{00000000-0005-0000-0000-000004010000}"/>
    <cellStyle name="_대곡이설(투찰)_양곡부두(투찰)-0.31%_합덕-신례원(2공구)투찰_경찰서-터미널간도로(투찰)②_왜관-태평건설" xfId="262" xr:uid="{00000000-0005-0000-0000-000005010000}"/>
    <cellStyle name="_대곡이설(투찰)_양곡부두(투찰)-0.31%_합덕-신례원(2공구)투찰_마현생창(동양고속)" xfId="263" xr:uid="{00000000-0005-0000-0000-000006010000}"/>
    <cellStyle name="_대곡이설(투찰)_양곡부두(투찰)-0.31%_합덕-신례원(2공구)투찰_마현생창(동양고속)_왜관-태평건설" xfId="264" xr:uid="{00000000-0005-0000-0000-000007010000}"/>
    <cellStyle name="_대곡이설(투찰)_양곡부두(투찰)-0.31%_합덕-신례원(2공구)투찰_봉무지방산업단지도로(투찰)②" xfId="265" xr:uid="{00000000-0005-0000-0000-000008010000}"/>
    <cellStyle name="_대곡이설(투찰)_양곡부두(투찰)-0.31%_합덕-신례원(2공구)투찰_봉무지방산업단지도로(투찰)②_마현생창(동양고속)" xfId="266" xr:uid="{00000000-0005-0000-0000-000009010000}"/>
    <cellStyle name="_대곡이설(투찰)_양곡부두(투찰)-0.31%_합덕-신례원(2공구)투찰_봉무지방산업단지도로(투찰)②_마현생창(동양고속)_왜관-태평건설" xfId="267" xr:uid="{00000000-0005-0000-0000-00000A010000}"/>
    <cellStyle name="_대곡이설(투찰)_양곡부두(투찰)-0.31%_합덕-신례원(2공구)투찰_봉무지방산업단지도로(투찰)②_왜관-태평건설" xfId="268" xr:uid="{00000000-0005-0000-0000-00000B010000}"/>
    <cellStyle name="_대곡이설(투찰)_양곡부두(투찰)-0.31%_합덕-신례원(2공구)투찰_봉무지방산업단지도로(투찰)②+0.250%" xfId="269" xr:uid="{00000000-0005-0000-0000-00000C010000}"/>
    <cellStyle name="_대곡이설(투찰)_양곡부두(투찰)-0.31%_합덕-신례원(2공구)투찰_봉무지방산업단지도로(투찰)②+0.250%_마현생창(동양고속)" xfId="270" xr:uid="{00000000-0005-0000-0000-00000D010000}"/>
    <cellStyle name="_대곡이설(투찰)_양곡부두(투찰)-0.31%_합덕-신례원(2공구)투찰_봉무지방산업단지도로(투찰)②+0.250%_마현생창(동양고속)_왜관-태평건설" xfId="271" xr:uid="{00000000-0005-0000-0000-00000E010000}"/>
    <cellStyle name="_대곡이설(투찰)_양곡부두(투찰)-0.31%_합덕-신례원(2공구)투찰_봉무지방산업단지도로(투찰)②+0.250%_왜관-태평건설" xfId="272" xr:uid="{00000000-0005-0000-0000-00000F010000}"/>
    <cellStyle name="_대곡이설(투찰)_양곡부두(투찰)-0.31%_합덕-신례원(2공구)투찰_왜관-태평건설" xfId="273" xr:uid="{00000000-0005-0000-0000-000010010000}"/>
    <cellStyle name="_대곡이설(투찰)_양곡부두(투찰)-0.31%_합덕-신례원(2공구)투찰_합덕-신례원(2공구)투찰" xfId="274" xr:uid="{00000000-0005-0000-0000-000011010000}"/>
    <cellStyle name="_대곡이설(투찰)_양곡부두(투찰)-0.31%_합덕-신례원(2공구)투찰_합덕-신례원(2공구)투찰_경찰서-터미널간도로(투찰)②" xfId="275" xr:uid="{00000000-0005-0000-0000-000012010000}"/>
    <cellStyle name="_대곡이설(투찰)_양곡부두(투찰)-0.31%_합덕-신례원(2공구)투찰_합덕-신례원(2공구)투찰_경찰서-터미널간도로(투찰)②_마현생창(동양고속)" xfId="276" xr:uid="{00000000-0005-0000-0000-000013010000}"/>
    <cellStyle name="_대곡이설(투찰)_양곡부두(투찰)-0.31%_합덕-신례원(2공구)투찰_합덕-신례원(2공구)투찰_경찰서-터미널간도로(투찰)②_마현생창(동양고속)_왜관-태평건설" xfId="277" xr:uid="{00000000-0005-0000-0000-000014010000}"/>
    <cellStyle name="_대곡이설(투찰)_양곡부두(투찰)-0.31%_합덕-신례원(2공구)투찰_합덕-신례원(2공구)투찰_경찰서-터미널간도로(투찰)②_왜관-태평건설" xfId="278" xr:uid="{00000000-0005-0000-0000-000015010000}"/>
    <cellStyle name="_대곡이설(투찰)_양곡부두(투찰)-0.31%_합덕-신례원(2공구)투찰_합덕-신례원(2공구)투찰_마현생창(동양고속)" xfId="279" xr:uid="{00000000-0005-0000-0000-000016010000}"/>
    <cellStyle name="_대곡이설(투찰)_양곡부두(투찰)-0.31%_합덕-신례원(2공구)투찰_합덕-신례원(2공구)투찰_마현생창(동양고속)_왜관-태평건설" xfId="280" xr:uid="{00000000-0005-0000-0000-000017010000}"/>
    <cellStyle name="_대곡이설(투찰)_양곡부두(투찰)-0.31%_합덕-신례원(2공구)투찰_합덕-신례원(2공구)투찰_봉무지방산업단지도로(투찰)②" xfId="281" xr:uid="{00000000-0005-0000-0000-000018010000}"/>
    <cellStyle name="_대곡이설(투찰)_양곡부두(투찰)-0.31%_합덕-신례원(2공구)투찰_합덕-신례원(2공구)투찰_봉무지방산업단지도로(투찰)②_마현생창(동양고속)" xfId="282" xr:uid="{00000000-0005-0000-0000-000019010000}"/>
    <cellStyle name="_대곡이설(투찰)_양곡부두(투찰)-0.31%_합덕-신례원(2공구)투찰_합덕-신례원(2공구)투찰_봉무지방산업단지도로(투찰)②_마현생창(동양고속)_왜관-태평건설" xfId="283" xr:uid="{00000000-0005-0000-0000-00001A010000}"/>
    <cellStyle name="_대곡이설(투찰)_양곡부두(투찰)-0.31%_합덕-신례원(2공구)투찰_합덕-신례원(2공구)투찰_봉무지방산업단지도로(투찰)②_왜관-태평건설" xfId="284" xr:uid="{00000000-0005-0000-0000-00001B010000}"/>
    <cellStyle name="_대곡이설(투찰)_양곡부두(투찰)-0.31%_합덕-신례원(2공구)투찰_합덕-신례원(2공구)투찰_봉무지방산업단지도로(투찰)②+0.250%" xfId="285" xr:uid="{00000000-0005-0000-0000-00001C010000}"/>
    <cellStyle name="_대곡이설(투찰)_양곡부두(투찰)-0.31%_합덕-신례원(2공구)투찰_합덕-신례원(2공구)투찰_봉무지방산업단지도로(투찰)②+0.250%_마현생창(동양고속)" xfId="286" xr:uid="{00000000-0005-0000-0000-00001D010000}"/>
    <cellStyle name="_대곡이설(투찰)_양곡부두(투찰)-0.31%_합덕-신례원(2공구)투찰_합덕-신례원(2공구)투찰_봉무지방산업단지도로(투찰)②+0.250%_마현생창(동양고속)_왜관-태평건설" xfId="287" xr:uid="{00000000-0005-0000-0000-00001E010000}"/>
    <cellStyle name="_대곡이설(투찰)_양곡부두(투찰)-0.31%_합덕-신례원(2공구)투찰_합덕-신례원(2공구)투찰_봉무지방산업단지도로(투찰)②+0.250%_왜관-태평건설" xfId="288" xr:uid="{00000000-0005-0000-0000-00001F010000}"/>
    <cellStyle name="_대곡이설(투찰)_양곡부두(투찰)-0.31%_합덕-신례원(2공구)투찰_합덕-신례원(2공구)투찰_왜관-태평건설" xfId="289" xr:uid="{00000000-0005-0000-0000-000020010000}"/>
    <cellStyle name="_대곡이설(투찰)_왜관-태평건설" xfId="290" xr:uid="{00000000-0005-0000-0000-000021010000}"/>
    <cellStyle name="_대곡이설(투찰)_창원상수도(토목)투찰" xfId="291" xr:uid="{00000000-0005-0000-0000-000022010000}"/>
    <cellStyle name="_대곡이설(투찰)_창원상수도(토목)투찰_경찰서-터미널간도로(투찰)②" xfId="292" xr:uid="{00000000-0005-0000-0000-000023010000}"/>
    <cellStyle name="_대곡이설(투찰)_창원상수도(토목)투찰_경찰서-터미널간도로(투찰)②_마현생창(동양고속)" xfId="293" xr:uid="{00000000-0005-0000-0000-000024010000}"/>
    <cellStyle name="_대곡이설(투찰)_창원상수도(토목)투찰_경찰서-터미널간도로(투찰)②_마현생창(동양고속)_왜관-태평건설" xfId="294" xr:uid="{00000000-0005-0000-0000-000025010000}"/>
    <cellStyle name="_대곡이설(투찰)_창원상수도(토목)투찰_경찰서-터미널간도로(투찰)②_왜관-태평건설" xfId="295" xr:uid="{00000000-0005-0000-0000-000026010000}"/>
    <cellStyle name="_대곡이설(투찰)_창원상수도(토목)투찰_마현생창(동양고속)" xfId="296" xr:uid="{00000000-0005-0000-0000-000027010000}"/>
    <cellStyle name="_대곡이설(투찰)_창원상수도(토목)투찰_마현생창(동양고속)_왜관-태평건설" xfId="297" xr:uid="{00000000-0005-0000-0000-000028010000}"/>
    <cellStyle name="_대곡이설(투찰)_창원상수도(토목)투찰_봉무지방산업단지도로(투찰)②" xfId="298" xr:uid="{00000000-0005-0000-0000-000029010000}"/>
    <cellStyle name="_대곡이설(투찰)_창원상수도(토목)투찰_봉무지방산업단지도로(투찰)②_마현생창(동양고속)" xfId="299" xr:uid="{00000000-0005-0000-0000-00002A010000}"/>
    <cellStyle name="_대곡이설(투찰)_창원상수도(토목)투찰_봉무지방산업단지도로(투찰)②_마현생창(동양고속)_왜관-태평건설" xfId="300" xr:uid="{00000000-0005-0000-0000-00002B010000}"/>
    <cellStyle name="_대곡이설(투찰)_창원상수도(토목)투찰_봉무지방산업단지도로(투찰)②_왜관-태평건설" xfId="301" xr:uid="{00000000-0005-0000-0000-00002C010000}"/>
    <cellStyle name="_대곡이설(투찰)_창원상수도(토목)투찰_봉무지방산업단지도로(투찰)②+0.250%" xfId="302" xr:uid="{00000000-0005-0000-0000-00002D010000}"/>
    <cellStyle name="_대곡이설(투찰)_창원상수도(토목)투찰_봉무지방산업단지도로(투찰)②+0.250%_마현생창(동양고속)" xfId="303" xr:uid="{00000000-0005-0000-0000-00002E010000}"/>
    <cellStyle name="_대곡이설(투찰)_창원상수도(토목)투찰_봉무지방산업단지도로(투찰)②+0.250%_마현생창(동양고속)_왜관-태평건설" xfId="304" xr:uid="{00000000-0005-0000-0000-00002F010000}"/>
    <cellStyle name="_대곡이설(투찰)_창원상수도(토목)투찰_봉무지방산업단지도로(투찰)②+0.250%_왜관-태평건설" xfId="305" xr:uid="{00000000-0005-0000-0000-000030010000}"/>
    <cellStyle name="_대곡이설(투찰)_창원상수도(토목)투찰_왜관-태평건설" xfId="306" xr:uid="{00000000-0005-0000-0000-000031010000}"/>
    <cellStyle name="_대곡이설(투찰)_창원상수도(토목)투찰_합덕-신례원(2공구)투찰" xfId="307" xr:uid="{00000000-0005-0000-0000-000032010000}"/>
    <cellStyle name="_대곡이설(투찰)_창원상수도(토목)투찰_합덕-신례원(2공구)투찰_경찰서-터미널간도로(투찰)②" xfId="308" xr:uid="{00000000-0005-0000-0000-000033010000}"/>
    <cellStyle name="_대곡이설(투찰)_창원상수도(토목)투찰_합덕-신례원(2공구)투찰_경찰서-터미널간도로(투찰)②_마현생창(동양고속)" xfId="309" xr:uid="{00000000-0005-0000-0000-000034010000}"/>
    <cellStyle name="_대곡이설(투찰)_창원상수도(토목)투찰_합덕-신례원(2공구)투찰_경찰서-터미널간도로(투찰)②_마현생창(동양고속)_왜관-태평건설" xfId="310" xr:uid="{00000000-0005-0000-0000-000035010000}"/>
    <cellStyle name="_대곡이설(투찰)_창원상수도(토목)투찰_합덕-신례원(2공구)투찰_경찰서-터미널간도로(투찰)②_왜관-태평건설" xfId="311" xr:uid="{00000000-0005-0000-0000-000036010000}"/>
    <cellStyle name="_대곡이설(투찰)_창원상수도(토목)투찰_합덕-신례원(2공구)투찰_마현생창(동양고속)" xfId="312" xr:uid="{00000000-0005-0000-0000-000037010000}"/>
    <cellStyle name="_대곡이설(투찰)_창원상수도(토목)투찰_합덕-신례원(2공구)투찰_마현생창(동양고속)_왜관-태평건설" xfId="313" xr:uid="{00000000-0005-0000-0000-000038010000}"/>
    <cellStyle name="_대곡이설(투찰)_창원상수도(토목)투찰_합덕-신례원(2공구)투찰_봉무지방산업단지도로(투찰)②" xfId="314" xr:uid="{00000000-0005-0000-0000-000039010000}"/>
    <cellStyle name="_대곡이설(투찰)_창원상수도(토목)투찰_합덕-신례원(2공구)투찰_봉무지방산업단지도로(투찰)②_마현생창(동양고속)" xfId="315" xr:uid="{00000000-0005-0000-0000-00003A010000}"/>
    <cellStyle name="_대곡이설(투찰)_창원상수도(토목)투찰_합덕-신례원(2공구)투찰_봉무지방산업단지도로(투찰)②_마현생창(동양고속)_왜관-태평건설" xfId="316" xr:uid="{00000000-0005-0000-0000-00003B010000}"/>
    <cellStyle name="_대곡이설(투찰)_창원상수도(토목)투찰_합덕-신례원(2공구)투찰_봉무지방산업단지도로(투찰)②_왜관-태평건설" xfId="317" xr:uid="{00000000-0005-0000-0000-00003C010000}"/>
    <cellStyle name="_대곡이설(투찰)_창원상수도(토목)투찰_합덕-신례원(2공구)투찰_봉무지방산업단지도로(투찰)②+0.250%" xfId="318" xr:uid="{00000000-0005-0000-0000-00003D010000}"/>
    <cellStyle name="_대곡이설(투찰)_창원상수도(토목)투찰_합덕-신례원(2공구)투찰_봉무지방산업단지도로(투찰)②+0.250%_마현생창(동양고속)" xfId="319" xr:uid="{00000000-0005-0000-0000-00003E010000}"/>
    <cellStyle name="_대곡이설(투찰)_창원상수도(토목)투찰_합덕-신례원(2공구)투찰_봉무지방산업단지도로(투찰)②+0.250%_마현생창(동양고속)_왜관-태평건설" xfId="320" xr:uid="{00000000-0005-0000-0000-00003F010000}"/>
    <cellStyle name="_대곡이설(투찰)_창원상수도(토목)투찰_합덕-신례원(2공구)투찰_봉무지방산업단지도로(투찰)②+0.250%_왜관-태평건설" xfId="321" xr:uid="{00000000-0005-0000-0000-000040010000}"/>
    <cellStyle name="_대곡이설(투찰)_창원상수도(토목)투찰_합덕-신례원(2공구)투찰_왜관-태평건설" xfId="322" xr:uid="{00000000-0005-0000-0000-000041010000}"/>
    <cellStyle name="_대곡이설(투찰)_창원상수도(토목)투찰_합덕-신례원(2공구)투찰_합덕-신례원(2공구)투찰" xfId="323" xr:uid="{00000000-0005-0000-0000-000042010000}"/>
    <cellStyle name="_대곡이설(투찰)_창원상수도(토목)투찰_합덕-신례원(2공구)투찰_합덕-신례원(2공구)투찰_경찰서-터미널간도로(투찰)②" xfId="324" xr:uid="{00000000-0005-0000-0000-000043010000}"/>
    <cellStyle name="_대곡이설(투찰)_창원상수도(토목)투찰_합덕-신례원(2공구)투찰_합덕-신례원(2공구)투찰_경찰서-터미널간도로(투찰)②_마현생창(동양고속)" xfId="325" xr:uid="{00000000-0005-0000-0000-000044010000}"/>
    <cellStyle name="_대곡이설(투찰)_창원상수도(토목)투찰_합덕-신례원(2공구)투찰_합덕-신례원(2공구)투찰_경찰서-터미널간도로(투찰)②_마현생창(동양고속)_왜관-태평건설" xfId="326" xr:uid="{00000000-0005-0000-0000-000045010000}"/>
    <cellStyle name="_대곡이설(투찰)_창원상수도(토목)투찰_합덕-신례원(2공구)투찰_합덕-신례원(2공구)투찰_경찰서-터미널간도로(투찰)②_왜관-태평건설" xfId="327" xr:uid="{00000000-0005-0000-0000-000046010000}"/>
    <cellStyle name="_대곡이설(투찰)_창원상수도(토목)투찰_합덕-신례원(2공구)투찰_합덕-신례원(2공구)투찰_마현생창(동양고속)" xfId="328" xr:uid="{00000000-0005-0000-0000-000047010000}"/>
    <cellStyle name="_대곡이설(투찰)_창원상수도(토목)투찰_합덕-신례원(2공구)투찰_합덕-신례원(2공구)투찰_마현생창(동양고속)_왜관-태평건설" xfId="329" xr:uid="{00000000-0005-0000-0000-000048010000}"/>
    <cellStyle name="_대곡이설(투찰)_창원상수도(토목)투찰_합덕-신례원(2공구)투찰_합덕-신례원(2공구)투찰_봉무지방산업단지도로(투찰)②" xfId="330" xr:uid="{00000000-0005-0000-0000-000049010000}"/>
    <cellStyle name="_대곡이설(투찰)_창원상수도(토목)투찰_합덕-신례원(2공구)투찰_합덕-신례원(2공구)투찰_봉무지방산업단지도로(투찰)②_마현생창(동양고속)" xfId="331" xr:uid="{00000000-0005-0000-0000-00004A010000}"/>
    <cellStyle name="_대곡이설(투찰)_창원상수도(토목)투찰_합덕-신례원(2공구)투찰_합덕-신례원(2공구)투찰_봉무지방산업단지도로(투찰)②_마현생창(동양고속)_왜관-태평건설" xfId="332" xr:uid="{00000000-0005-0000-0000-00004B010000}"/>
    <cellStyle name="_대곡이설(투찰)_창원상수도(토목)투찰_합덕-신례원(2공구)투찰_합덕-신례원(2공구)투찰_봉무지방산업단지도로(투찰)②_왜관-태평건설" xfId="333" xr:uid="{00000000-0005-0000-0000-00004C010000}"/>
    <cellStyle name="_대곡이설(투찰)_창원상수도(토목)투찰_합덕-신례원(2공구)투찰_합덕-신례원(2공구)투찰_봉무지방산업단지도로(투찰)②+0.250%" xfId="334" xr:uid="{00000000-0005-0000-0000-00004D010000}"/>
    <cellStyle name="_대곡이설(투찰)_창원상수도(토목)투찰_합덕-신례원(2공구)투찰_합덕-신례원(2공구)투찰_봉무지방산업단지도로(투찰)②+0.250%_마현생창(동양고속)" xfId="335" xr:uid="{00000000-0005-0000-0000-00004E010000}"/>
    <cellStyle name="_대곡이설(투찰)_창원상수도(토목)투찰_합덕-신례원(2공구)투찰_합덕-신례원(2공구)투찰_봉무지방산업단지도로(투찰)②+0.250%_마현생창(동양고속)_왜관-태평건설" xfId="336" xr:uid="{00000000-0005-0000-0000-00004F010000}"/>
    <cellStyle name="_대곡이설(투찰)_창원상수도(토목)투찰_합덕-신례원(2공구)투찰_합덕-신례원(2공구)투찰_봉무지방산업단지도로(투찰)②+0.250%_왜관-태평건설" xfId="337" xr:uid="{00000000-0005-0000-0000-000050010000}"/>
    <cellStyle name="_대곡이설(투찰)_창원상수도(토목)투찰_합덕-신례원(2공구)투찰_합덕-신례원(2공구)투찰_왜관-태평건설" xfId="338" xr:uid="{00000000-0005-0000-0000-000051010000}"/>
    <cellStyle name="_대곡이설(투찰)_합덕-신례원(2공구)투찰" xfId="339" xr:uid="{00000000-0005-0000-0000-000052010000}"/>
    <cellStyle name="_대곡이설(투찰)_합덕-신례원(2공구)투찰_경찰서-터미널간도로(투찰)②" xfId="340" xr:uid="{00000000-0005-0000-0000-000053010000}"/>
    <cellStyle name="_대곡이설(투찰)_합덕-신례원(2공구)투찰_경찰서-터미널간도로(투찰)②_마현생창(동양고속)" xfId="341" xr:uid="{00000000-0005-0000-0000-000054010000}"/>
    <cellStyle name="_대곡이설(투찰)_합덕-신례원(2공구)투찰_경찰서-터미널간도로(투찰)②_마현생창(동양고속)_왜관-태평건설" xfId="342" xr:uid="{00000000-0005-0000-0000-000055010000}"/>
    <cellStyle name="_대곡이설(투찰)_합덕-신례원(2공구)투찰_경찰서-터미널간도로(투찰)②_왜관-태평건설" xfId="343" xr:uid="{00000000-0005-0000-0000-000056010000}"/>
    <cellStyle name="_대곡이설(투찰)_합덕-신례원(2공구)투찰_마현생창(동양고속)" xfId="344" xr:uid="{00000000-0005-0000-0000-000057010000}"/>
    <cellStyle name="_대곡이설(투찰)_합덕-신례원(2공구)투찰_마현생창(동양고속)_왜관-태평건설" xfId="345" xr:uid="{00000000-0005-0000-0000-000058010000}"/>
    <cellStyle name="_대곡이설(투찰)_합덕-신례원(2공구)투찰_봉무지방산업단지도로(투찰)②" xfId="346" xr:uid="{00000000-0005-0000-0000-000059010000}"/>
    <cellStyle name="_대곡이설(투찰)_합덕-신례원(2공구)투찰_봉무지방산업단지도로(투찰)②_마현생창(동양고속)" xfId="347" xr:uid="{00000000-0005-0000-0000-00005A010000}"/>
    <cellStyle name="_대곡이설(투찰)_합덕-신례원(2공구)투찰_봉무지방산업단지도로(투찰)②_마현생창(동양고속)_왜관-태평건설" xfId="348" xr:uid="{00000000-0005-0000-0000-00005B010000}"/>
    <cellStyle name="_대곡이설(투찰)_합덕-신례원(2공구)투찰_봉무지방산업단지도로(투찰)②_왜관-태평건설" xfId="349" xr:uid="{00000000-0005-0000-0000-00005C010000}"/>
    <cellStyle name="_대곡이설(투찰)_합덕-신례원(2공구)투찰_봉무지방산업단지도로(투찰)②+0.250%" xfId="350" xr:uid="{00000000-0005-0000-0000-00005D010000}"/>
    <cellStyle name="_대곡이설(투찰)_합덕-신례원(2공구)투찰_봉무지방산업단지도로(투찰)②+0.250%_마현생창(동양고속)" xfId="351" xr:uid="{00000000-0005-0000-0000-00005E010000}"/>
    <cellStyle name="_대곡이설(투찰)_합덕-신례원(2공구)투찰_봉무지방산업단지도로(투찰)②+0.250%_마현생창(동양고속)_왜관-태평건설" xfId="352" xr:uid="{00000000-0005-0000-0000-00005F010000}"/>
    <cellStyle name="_대곡이설(투찰)_합덕-신례원(2공구)투찰_봉무지방산업단지도로(투찰)②+0.250%_왜관-태평건설" xfId="353" xr:uid="{00000000-0005-0000-0000-000060010000}"/>
    <cellStyle name="_대곡이설(투찰)_합덕-신례원(2공구)투찰_왜관-태평건설" xfId="354" xr:uid="{00000000-0005-0000-0000-000061010000}"/>
    <cellStyle name="_대곡이설(투찰)_합덕-신례원(2공구)투찰_합덕-신례원(2공구)투찰" xfId="355" xr:uid="{00000000-0005-0000-0000-000062010000}"/>
    <cellStyle name="_대곡이설(투찰)_합덕-신례원(2공구)투찰_합덕-신례원(2공구)투찰_경찰서-터미널간도로(투찰)②" xfId="356" xr:uid="{00000000-0005-0000-0000-000063010000}"/>
    <cellStyle name="_대곡이설(투찰)_합덕-신례원(2공구)투찰_합덕-신례원(2공구)투찰_경찰서-터미널간도로(투찰)②_마현생창(동양고속)" xfId="357" xr:uid="{00000000-0005-0000-0000-000064010000}"/>
    <cellStyle name="_대곡이설(투찰)_합덕-신례원(2공구)투찰_합덕-신례원(2공구)투찰_경찰서-터미널간도로(투찰)②_마현생창(동양고속)_왜관-태평건설" xfId="358" xr:uid="{00000000-0005-0000-0000-000065010000}"/>
    <cellStyle name="_대곡이설(투찰)_합덕-신례원(2공구)투찰_합덕-신례원(2공구)투찰_경찰서-터미널간도로(투찰)②_왜관-태평건설" xfId="359" xr:uid="{00000000-0005-0000-0000-000066010000}"/>
    <cellStyle name="_대곡이설(투찰)_합덕-신례원(2공구)투찰_합덕-신례원(2공구)투찰_마현생창(동양고속)" xfId="360" xr:uid="{00000000-0005-0000-0000-000067010000}"/>
    <cellStyle name="_대곡이설(투찰)_합덕-신례원(2공구)투찰_합덕-신례원(2공구)투찰_마현생창(동양고속)_왜관-태평건설" xfId="361" xr:uid="{00000000-0005-0000-0000-000068010000}"/>
    <cellStyle name="_대곡이설(투찰)_합덕-신례원(2공구)투찰_합덕-신례원(2공구)투찰_봉무지방산업단지도로(투찰)②" xfId="362" xr:uid="{00000000-0005-0000-0000-000069010000}"/>
    <cellStyle name="_대곡이설(투찰)_합덕-신례원(2공구)투찰_합덕-신례원(2공구)투찰_봉무지방산업단지도로(투찰)②_마현생창(동양고속)" xfId="363" xr:uid="{00000000-0005-0000-0000-00006A010000}"/>
    <cellStyle name="_대곡이설(투찰)_합덕-신례원(2공구)투찰_합덕-신례원(2공구)투찰_봉무지방산업단지도로(투찰)②_마현생창(동양고속)_왜관-태평건설" xfId="364" xr:uid="{00000000-0005-0000-0000-00006B010000}"/>
    <cellStyle name="_대곡이설(투찰)_합덕-신례원(2공구)투찰_합덕-신례원(2공구)투찰_봉무지방산업단지도로(투찰)②_왜관-태평건설" xfId="365" xr:uid="{00000000-0005-0000-0000-00006C010000}"/>
    <cellStyle name="_대곡이설(투찰)_합덕-신례원(2공구)투찰_합덕-신례원(2공구)투찰_봉무지방산업단지도로(투찰)②+0.250%" xfId="366" xr:uid="{00000000-0005-0000-0000-00006D010000}"/>
    <cellStyle name="_대곡이설(투찰)_합덕-신례원(2공구)투찰_합덕-신례원(2공구)투찰_봉무지방산업단지도로(투찰)②+0.250%_마현생창(동양고속)" xfId="367" xr:uid="{00000000-0005-0000-0000-00006E010000}"/>
    <cellStyle name="_대곡이설(투찰)_합덕-신례원(2공구)투찰_합덕-신례원(2공구)투찰_봉무지방산업단지도로(투찰)②+0.250%_마현생창(동양고속)_왜관-태평건설" xfId="368" xr:uid="{00000000-0005-0000-0000-00006F010000}"/>
    <cellStyle name="_대곡이설(투찰)_합덕-신례원(2공구)투찰_합덕-신례원(2공구)투찰_봉무지방산업단지도로(투찰)②+0.250%_왜관-태평건설" xfId="369" xr:uid="{00000000-0005-0000-0000-000070010000}"/>
    <cellStyle name="_대곡이설(투찰)_합덕-신례원(2공구)투찰_합덕-신례원(2공구)투찰_왜관-태평건설" xfId="370" xr:uid="{00000000-0005-0000-0000-000071010000}"/>
    <cellStyle name="_도고천품의안11" xfId="371" xr:uid="{00000000-0005-0000-0000-000072010000}"/>
    <cellStyle name="_도고천품의안11_1" xfId="372" xr:uid="{00000000-0005-0000-0000-000073010000}"/>
    <cellStyle name="_도고천품의안11_광주평동투찰" xfId="373" xr:uid="{00000000-0005-0000-0000-000074010000}"/>
    <cellStyle name="_도고천품의안11_광주평동품의1" xfId="374" xr:uid="{00000000-0005-0000-0000-000075010000}"/>
    <cellStyle name="_도고천품의안11_송학하수품의(설계넣고)" xfId="375" xr:uid="{00000000-0005-0000-0000-000076010000}"/>
    <cellStyle name="_도덕-고흥도로(투찰)" xfId="376" xr:uid="{00000000-0005-0000-0000-000077010000}"/>
    <cellStyle name="_두계변전소하도급" xfId="377" xr:uid="{00000000-0005-0000-0000-000078010000}"/>
    <cellStyle name="_매정견적보고" xfId="378" xr:uid="{00000000-0005-0000-0000-000079010000}"/>
    <cellStyle name="_명암지도로투찰2" xfId="379" xr:uid="{00000000-0005-0000-0000-00007A010000}"/>
    <cellStyle name="_무창(전자입찰용)" xfId="380" xr:uid="{00000000-0005-0000-0000-00007B010000}"/>
    <cellStyle name="_무창(전자입찰용)_왜관-태평건설" xfId="381" xr:uid="{00000000-0005-0000-0000-00007C010000}"/>
    <cellStyle name="_부대입찰양식②" xfId="382" xr:uid="{00000000-0005-0000-0000-00007D010000}"/>
    <cellStyle name="_부대입찰양식②_경찰서-터미널간도로(투찰)②" xfId="383" xr:uid="{00000000-0005-0000-0000-00007E010000}"/>
    <cellStyle name="_부대입찰양식②_경찰서-터미널간도로(투찰)②_마현생창(동양고속)" xfId="384" xr:uid="{00000000-0005-0000-0000-00007F010000}"/>
    <cellStyle name="_부대입찰양식②_경찰서-터미널간도로(투찰)②_마현생창(동양고속)_왜관-태평건설" xfId="385" xr:uid="{00000000-0005-0000-0000-000080010000}"/>
    <cellStyle name="_부대입찰양식②_경찰서-터미널간도로(투찰)②_왜관-태평건설" xfId="386" xr:uid="{00000000-0005-0000-0000-000081010000}"/>
    <cellStyle name="_부대입찰양식②_마현생창(동양고속)" xfId="387" xr:uid="{00000000-0005-0000-0000-000082010000}"/>
    <cellStyle name="_부대입찰양식②_마현생창(동양고속)_왜관-태평건설" xfId="388" xr:uid="{00000000-0005-0000-0000-000083010000}"/>
    <cellStyle name="_부대입찰양식②_봉무지방산업단지도로(투찰)②" xfId="389" xr:uid="{00000000-0005-0000-0000-000084010000}"/>
    <cellStyle name="_부대입찰양식②_봉무지방산업단지도로(투찰)②_마현생창(동양고속)" xfId="390" xr:uid="{00000000-0005-0000-0000-000085010000}"/>
    <cellStyle name="_부대입찰양식②_봉무지방산업단지도로(투찰)②_마현생창(동양고속)_왜관-태평건설" xfId="391" xr:uid="{00000000-0005-0000-0000-000086010000}"/>
    <cellStyle name="_부대입찰양식②_봉무지방산업단지도로(투찰)②_왜관-태평건설" xfId="392" xr:uid="{00000000-0005-0000-0000-000087010000}"/>
    <cellStyle name="_부대입찰양식②_봉무지방산업단지도로(투찰)②+0.250%" xfId="393" xr:uid="{00000000-0005-0000-0000-000088010000}"/>
    <cellStyle name="_부대입찰양식②_봉무지방산업단지도로(투찰)②+0.250%_마현생창(동양고속)" xfId="394" xr:uid="{00000000-0005-0000-0000-000089010000}"/>
    <cellStyle name="_부대입찰양식②_봉무지방산업단지도로(투찰)②+0.250%_마현생창(동양고속)_왜관-태평건설" xfId="395" xr:uid="{00000000-0005-0000-0000-00008A010000}"/>
    <cellStyle name="_부대입찰양식②_봉무지방산업단지도로(투찰)②+0.250%_왜관-태평건설" xfId="396" xr:uid="{00000000-0005-0000-0000-00008B010000}"/>
    <cellStyle name="_부대입찰양식②_왜관-태평건설" xfId="397" xr:uid="{00000000-0005-0000-0000-00008C010000}"/>
    <cellStyle name="_부대입찰양식②_합덕-신례원(2공구)투찰" xfId="398" xr:uid="{00000000-0005-0000-0000-00008D010000}"/>
    <cellStyle name="_부대입찰양식②_합덕-신례원(2공구)투찰_경찰서-터미널간도로(투찰)②" xfId="399" xr:uid="{00000000-0005-0000-0000-00008E010000}"/>
    <cellStyle name="_부대입찰양식②_합덕-신례원(2공구)투찰_경찰서-터미널간도로(투찰)②_마현생창(동양고속)" xfId="400" xr:uid="{00000000-0005-0000-0000-00008F010000}"/>
    <cellStyle name="_부대입찰양식②_합덕-신례원(2공구)투찰_경찰서-터미널간도로(투찰)②_마현생창(동양고속)_왜관-태평건설" xfId="401" xr:uid="{00000000-0005-0000-0000-000090010000}"/>
    <cellStyle name="_부대입찰양식②_합덕-신례원(2공구)투찰_경찰서-터미널간도로(투찰)②_왜관-태평건설" xfId="402" xr:uid="{00000000-0005-0000-0000-000091010000}"/>
    <cellStyle name="_부대입찰양식②_합덕-신례원(2공구)투찰_마현생창(동양고속)" xfId="403" xr:uid="{00000000-0005-0000-0000-000092010000}"/>
    <cellStyle name="_부대입찰양식②_합덕-신례원(2공구)투찰_마현생창(동양고속)_왜관-태평건설" xfId="404" xr:uid="{00000000-0005-0000-0000-000093010000}"/>
    <cellStyle name="_부대입찰양식②_합덕-신례원(2공구)투찰_봉무지방산업단지도로(투찰)②" xfId="405" xr:uid="{00000000-0005-0000-0000-000094010000}"/>
    <cellStyle name="_부대입찰양식②_합덕-신례원(2공구)투찰_봉무지방산업단지도로(투찰)②_마현생창(동양고속)" xfId="406" xr:uid="{00000000-0005-0000-0000-000095010000}"/>
    <cellStyle name="_부대입찰양식②_합덕-신례원(2공구)투찰_봉무지방산업단지도로(투찰)②_마현생창(동양고속)_왜관-태평건설" xfId="407" xr:uid="{00000000-0005-0000-0000-000096010000}"/>
    <cellStyle name="_부대입찰양식②_합덕-신례원(2공구)투찰_봉무지방산업단지도로(투찰)②_왜관-태평건설" xfId="408" xr:uid="{00000000-0005-0000-0000-000097010000}"/>
    <cellStyle name="_부대입찰양식②_합덕-신례원(2공구)투찰_봉무지방산업단지도로(투찰)②+0.250%" xfId="409" xr:uid="{00000000-0005-0000-0000-000098010000}"/>
    <cellStyle name="_부대입찰양식②_합덕-신례원(2공구)투찰_봉무지방산업단지도로(투찰)②+0.250%_마현생창(동양고속)" xfId="410" xr:uid="{00000000-0005-0000-0000-000099010000}"/>
    <cellStyle name="_부대입찰양식②_합덕-신례원(2공구)투찰_봉무지방산업단지도로(투찰)②+0.250%_마현생창(동양고속)_왜관-태평건설" xfId="411" xr:uid="{00000000-0005-0000-0000-00009A010000}"/>
    <cellStyle name="_부대입찰양식②_합덕-신례원(2공구)투찰_봉무지방산업단지도로(투찰)②+0.250%_왜관-태평건설" xfId="412" xr:uid="{00000000-0005-0000-0000-00009B010000}"/>
    <cellStyle name="_부대입찰양식②_합덕-신례원(2공구)투찰_왜관-태평건설" xfId="413" xr:uid="{00000000-0005-0000-0000-00009C010000}"/>
    <cellStyle name="_부대입찰양식②_합덕-신례원(2공구)투찰_합덕-신례원(2공구)투찰" xfId="414" xr:uid="{00000000-0005-0000-0000-00009D010000}"/>
    <cellStyle name="_부대입찰양식②_합덕-신례원(2공구)투찰_합덕-신례원(2공구)투찰_경찰서-터미널간도로(투찰)②" xfId="415" xr:uid="{00000000-0005-0000-0000-00009E010000}"/>
    <cellStyle name="_부대입찰양식②_합덕-신례원(2공구)투찰_합덕-신례원(2공구)투찰_경찰서-터미널간도로(투찰)②_마현생창(동양고속)" xfId="416" xr:uid="{00000000-0005-0000-0000-00009F010000}"/>
    <cellStyle name="_부대입찰양식②_합덕-신례원(2공구)투찰_합덕-신례원(2공구)투찰_경찰서-터미널간도로(투찰)②_마현생창(동양고속)_왜관-태평건설" xfId="417" xr:uid="{00000000-0005-0000-0000-0000A0010000}"/>
    <cellStyle name="_부대입찰양식②_합덕-신례원(2공구)투찰_합덕-신례원(2공구)투찰_경찰서-터미널간도로(투찰)②_왜관-태평건설" xfId="418" xr:uid="{00000000-0005-0000-0000-0000A1010000}"/>
    <cellStyle name="_부대입찰양식②_합덕-신례원(2공구)투찰_합덕-신례원(2공구)투찰_마현생창(동양고속)" xfId="419" xr:uid="{00000000-0005-0000-0000-0000A2010000}"/>
    <cellStyle name="_부대입찰양식②_합덕-신례원(2공구)투찰_합덕-신례원(2공구)투찰_마현생창(동양고속)_왜관-태평건설" xfId="420" xr:uid="{00000000-0005-0000-0000-0000A3010000}"/>
    <cellStyle name="_부대입찰양식②_합덕-신례원(2공구)투찰_합덕-신례원(2공구)투찰_봉무지방산업단지도로(투찰)②" xfId="421" xr:uid="{00000000-0005-0000-0000-0000A4010000}"/>
    <cellStyle name="_부대입찰양식②_합덕-신례원(2공구)투찰_합덕-신례원(2공구)투찰_봉무지방산업단지도로(투찰)②_마현생창(동양고속)" xfId="422" xr:uid="{00000000-0005-0000-0000-0000A5010000}"/>
    <cellStyle name="_부대입찰양식②_합덕-신례원(2공구)투찰_합덕-신례원(2공구)투찰_봉무지방산업단지도로(투찰)②_마현생창(동양고속)_왜관-태평건설" xfId="423" xr:uid="{00000000-0005-0000-0000-0000A6010000}"/>
    <cellStyle name="_부대입찰양식②_합덕-신례원(2공구)투찰_합덕-신례원(2공구)투찰_봉무지방산업단지도로(투찰)②_왜관-태평건설" xfId="424" xr:uid="{00000000-0005-0000-0000-0000A7010000}"/>
    <cellStyle name="_부대입찰양식②_합덕-신례원(2공구)투찰_합덕-신례원(2공구)투찰_봉무지방산업단지도로(투찰)②+0.250%" xfId="425" xr:uid="{00000000-0005-0000-0000-0000A8010000}"/>
    <cellStyle name="_부대입찰양식②_합덕-신례원(2공구)투찰_합덕-신례원(2공구)투찰_봉무지방산업단지도로(투찰)②+0.250%_마현생창(동양고속)" xfId="426" xr:uid="{00000000-0005-0000-0000-0000A9010000}"/>
    <cellStyle name="_부대입찰양식②_합덕-신례원(2공구)투찰_합덕-신례원(2공구)투찰_봉무지방산업단지도로(투찰)②+0.250%_마현생창(동양고속)_왜관-태평건설" xfId="427" xr:uid="{00000000-0005-0000-0000-0000AA010000}"/>
    <cellStyle name="_부대입찰양식②_합덕-신례원(2공구)투찰_합덕-신례원(2공구)투찰_봉무지방산업단지도로(투찰)②+0.250%_왜관-태평건설" xfId="428" xr:uid="{00000000-0005-0000-0000-0000AB010000}"/>
    <cellStyle name="_부대입찰양식②_합덕-신례원(2공구)투찰_합덕-신례원(2공구)투찰_왜관-태평건설" xfId="429" xr:uid="{00000000-0005-0000-0000-0000AC010000}"/>
    <cellStyle name="_부대입찰확약서" xfId="430" xr:uid="{00000000-0005-0000-0000-0000AD010000}"/>
    <cellStyle name="_부평배수지(투찰)" xfId="431" xr:uid="{00000000-0005-0000-0000-0000AE010000}"/>
    <cellStyle name="_부평배수지(투찰)_경찰서-터미널간도로(투찰)②" xfId="432" xr:uid="{00000000-0005-0000-0000-0000AF010000}"/>
    <cellStyle name="_부평배수지(투찰)_경찰서-터미널간도로(투찰)②_마현생창(동양고속)" xfId="433" xr:uid="{00000000-0005-0000-0000-0000B0010000}"/>
    <cellStyle name="_부평배수지(투찰)_경찰서-터미널간도로(투찰)②_마현생창(동양고속)_왜관-태평건설" xfId="434" xr:uid="{00000000-0005-0000-0000-0000B1010000}"/>
    <cellStyle name="_부평배수지(투찰)_경찰서-터미널간도로(투찰)②_왜관-태평건설" xfId="435" xr:uid="{00000000-0005-0000-0000-0000B2010000}"/>
    <cellStyle name="_부평배수지(투찰)_마현생창(동양고속)" xfId="436" xr:uid="{00000000-0005-0000-0000-0000B3010000}"/>
    <cellStyle name="_부평배수지(투찰)_마현생창(동양고속)_왜관-태평건설" xfId="437" xr:uid="{00000000-0005-0000-0000-0000B4010000}"/>
    <cellStyle name="_부평배수지(투찰)_봉무지방산업단지도로(투찰)②" xfId="438" xr:uid="{00000000-0005-0000-0000-0000B5010000}"/>
    <cellStyle name="_부평배수지(투찰)_봉무지방산업단지도로(투찰)②_마현생창(동양고속)" xfId="439" xr:uid="{00000000-0005-0000-0000-0000B6010000}"/>
    <cellStyle name="_부평배수지(투찰)_봉무지방산업단지도로(투찰)②_마현생창(동양고속)_왜관-태평건설" xfId="440" xr:uid="{00000000-0005-0000-0000-0000B7010000}"/>
    <cellStyle name="_부평배수지(투찰)_봉무지방산업단지도로(투찰)②_왜관-태평건설" xfId="441" xr:uid="{00000000-0005-0000-0000-0000B8010000}"/>
    <cellStyle name="_부평배수지(투찰)_봉무지방산업단지도로(투찰)②+0.250%" xfId="442" xr:uid="{00000000-0005-0000-0000-0000B9010000}"/>
    <cellStyle name="_부평배수지(투찰)_봉무지방산업단지도로(투찰)②+0.250%_마현생창(동양고속)" xfId="443" xr:uid="{00000000-0005-0000-0000-0000BA010000}"/>
    <cellStyle name="_부평배수지(투찰)_봉무지방산업단지도로(투찰)②+0.250%_마현생창(동양고속)_왜관-태평건설" xfId="444" xr:uid="{00000000-0005-0000-0000-0000BB010000}"/>
    <cellStyle name="_부평배수지(투찰)_봉무지방산업단지도로(투찰)②+0.250%_왜관-태평건설" xfId="445" xr:uid="{00000000-0005-0000-0000-0000BC010000}"/>
    <cellStyle name="_부평배수지(투찰)_왜관-태평건설" xfId="446" xr:uid="{00000000-0005-0000-0000-0000BD010000}"/>
    <cellStyle name="_부평배수지(투찰)_합덕-신례원(2공구)투찰" xfId="447" xr:uid="{00000000-0005-0000-0000-0000BE010000}"/>
    <cellStyle name="_부평배수지(투찰)_합덕-신례원(2공구)투찰_경찰서-터미널간도로(투찰)②" xfId="448" xr:uid="{00000000-0005-0000-0000-0000BF010000}"/>
    <cellStyle name="_부평배수지(투찰)_합덕-신례원(2공구)투찰_경찰서-터미널간도로(투찰)②_마현생창(동양고속)" xfId="449" xr:uid="{00000000-0005-0000-0000-0000C0010000}"/>
    <cellStyle name="_부평배수지(투찰)_합덕-신례원(2공구)투찰_경찰서-터미널간도로(투찰)②_마현생창(동양고속)_왜관-태평건설" xfId="450" xr:uid="{00000000-0005-0000-0000-0000C1010000}"/>
    <cellStyle name="_부평배수지(투찰)_합덕-신례원(2공구)투찰_경찰서-터미널간도로(투찰)②_왜관-태평건설" xfId="451" xr:uid="{00000000-0005-0000-0000-0000C2010000}"/>
    <cellStyle name="_부평배수지(투찰)_합덕-신례원(2공구)투찰_마현생창(동양고속)" xfId="452" xr:uid="{00000000-0005-0000-0000-0000C3010000}"/>
    <cellStyle name="_부평배수지(투찰)_합덕-신례원(2공구)투찰_마현생창(동양고속)_왜관-태평건설" xfId="453" xr:uid="{00000000-0005-0000-0000-0000C4010000}"/>
    <cellStyle name="_부평배수지(투찰)_합덕-신례원(2공구)투찰_봉무지방산업단지도로(투찰)②" xfId="454" xr:uid="{00000000-0005-0000-0000-0000C5010000}"/>
    <cellStyle name="_부평배수지(투찰)_합덕-신례원(2공구)투찰_봉무지방산업단지도로(투찰)②_마현생창(동양고속)" xfId="455" xr:uid="{00000000-0005-0000-0000-0000C6010000}"/>
    <cellStyle name="_부평배수지(투찰)_합덕-신례원(2공구)투찰_봉무지방산업단지도로(투찰)②_마현생창(동양고속)_왜관-태평건설" xfId="456" xr:uid="{00000000-0005-0000-0000-0000C7010000}"/>
    <cellStyle name="_부평배수지(투찰)_합덕-신례원(2공구)투찰_봉무지방산업단지도로(투찰)②_왜관-태평건설" xfId="457" xr:uid="{00000000-0005-0000-0000-0000C8010000}"/>
    <cellStyle name="_부평배수지(투찰)_합덕-신례원(2공구)투찰_봉무지방산업단지도로(투찰)②+0.250%" xfId="458" xr:uid="{00000000-0005-0000-0000-0000C9010000}"/>
    <cellStyle name="_부평배수지(투찰)_합덕-신례원(2공구)투찰_봉무지방산업단지도로(투찰)②+0.250%_마현생창(동양고속)" xfId="459" xr:uid="{00000000-0005-0000-0000-0000CA010000}"/>
    <cellStyle name="_부평배수지(투찰)_합덕-신례원(2공구)투찰_봉무지방산업단지도로(투찰)②+0.250%_마현생창(동양고속)_왜관-태평건설" xfId="460" xr:uid="{00000000-0005-0000-0000-0000CB010000}"/>
    <cellStyle name="_부평배수지(투찰)_합덕-신례원(2공구)투찰_봉무지방산업단지도로(투찰)②+0.250%_왜관-태평건설" xfId="461" xr:uid="{00000000-0005-0000-0000-0000CC010000}"/>
    <cellStyle name="_부평배수지(투찰)_합덕-신례원(2공구)투찰_왜관-태평건설" xfId="462" xr:uid="{00000000-0005-0000-0000-0000CD010000}"/>
    <cellStyle name="_부평배수지(투찰)_합덕-신례원(2공구)투찰_합덕-신례원(2공구)투찰" xfId="463" xr:uid="{00000000-0005-0000-0000-0000CE010000}"/>
    <cellStyle name="_부평배수지(투찰)_합덕-신례원(2공구)투찰_합덕-신례원(2공구)투찰_경찰서-터미널간도로(투찰)②" xfId="464" xr:uid="{00000000-0005-0000-0000-0000CF010000}"/>
    <cellStyle name="_부평배수지(투찰)_합덕-신례원(2공구)투찰_합덕-신례원(2공구)투찰_경찰서-터미널간도로(투찰)②_마현생창(동양고속)" xfId="465" xr:uid="{00000000-0005-0000-0000-0000D0010000}"/>
    <cellStyle name="_부평배수지(투찰)_합덕-신례원(2공구)투찰_합덕-신례원(2공구)투찰_경찰서-터미널간도로(투찰)②_마현생창(동양고속)_왜관-태평건설" xfId="466" xr:uid="{00000000-0005-0000-0000-0000D1010000}"/>
    <cellStyle name="_부평배수지(투찰)_합덕-신례원(2공구)투찰_합덕-신례원(2공구)투찰_경찰서-터미널간도로(투찰)②_왜관-태평건설" xfId="467" xr:uid="{00000000-0005-0000-0000-0000D2010000}"/>
    <cellStyle name="_부평배수지(투찰)_합덕-신례원(2공구)투찰_합덕-신례원(2공구)투찰_마현생창(동양고속)" xfId="468" xr:uid="{00000000-0005-0000-0000-0000D3010000}"/>
    <cellStyle name="_부평배수지(투찰)_합덕-신례원(2공구)투찰_합덕-신례원(2공구)투찰_마현생창(동양고속)_왜관-태평건설" xfId="469" xr:uid="{00000000-0005-0000-0000-0000D4010000}"/>
    <cellStyle name="_부평배수지(투찰)_합덕-신례원(2공구)투찰_합덕-신례원(2공구)투찰_봉무지방산업단지도로(투찰)②" xfId="470" xr:uid="{00000000-0005-0000-0000-0000D5010000}"/>
    <cellStyle name="_부평배수지(투찰)_합덕-신례원(2공구)투찰_합덕-신례원(2공구)투찰_봉무지방산업단지도로(투찰)②_마현생창(동양고속)" xfId="471" xr:uid="{00000000-0005-0000-0000-0000D6010000}"/>
    <cellStyle name="_부평배수지(투찰)_합덕-신례원(2공구)투찰_합덕-신례원(2공구)투찰_봉무지방산업단지도로(투찰)②_마현생창(동양고속)_왜관-태평건설" xfId="472" xr:uid="{00000000-0005-0000-0000-0000D7010000}"/>
    <cellStyle name="_부평배수지(투찰)_합덕-신례원(2공구)투찰_합덕-신례원(2공구)투찰_봉무지방산업단지도로(투찰)②_왜관-태평건설" xfId="473" xr:uid="{00000000-0005-0000-0000-0000D8010000}"/>
    <cellStyle name="_부평배수지(투찰)_합덕-신례원(2공구)투찰_합덕-신례원(2공구)투찰_봉무지방산업단지도로(투찰)②+0.250%" xfId="474" xr:uid="{00000000-0005-0000-0000-0000D9010000}"/>
    <cellStyle name="_부평배수지(투찰)_합덕-신례원(2공구)투찰_합덕-신례원(2공구)투찰_봉무지방산업단지도로(투찰)②+0.250%_마현생창(동양고속)" xfId="475" xr:uid="{00000000-0005-0000-0000-0000DA010000}"/>
    <cellStyle name="_부평배수지(투찰)_합덕-신례원(2공구)투찰_합덕-신례원(2공구)투찰_봉무지방산업단지도로(투찰)②+0.250%_마현생창(동양고속)_왜관-태평건설" xfId="476" xr:uid="{00000000-0005-0000-0000-0000DB010000}"/>
    <cellStyle name="_부평배수지(투찰)_합덕-신례원(2공구)투찰_합덕-신례원(2공구)투찰_봉무지방산업단지도로(투찰)②+0.250%_왜관-태평건설" xfId="477" xr:uid="{00000000-0005-0000-0000-0000DC010000}"/>
    <cellStyle name="_부평배수지(투찰)_합덕-신례원(2공구)투찰_합덕-신례원(2공구)투찰_왜관-태평건설" xfId="478" xr:uid="{00000000-0005-0000-0000-0000DD010000}"/>
    <cellStyle name="_사동초중" xfId="479" xr:uid="{00000000-0005-0000-0000-0000DE010000}"/>
    <cellStyle name="_서라벌고 내역서" xfId="480" xr:uid="{00000000-0005-0000-0000-0000DF010000}"/>
    <cellStyle name="_설계추정2(토목)대림" xfId="481" xr:uid="{00000000-0005-0000-0000-0000E0010000}"/>
    <cellStyle name="_소화펌프" xfId="482" xr:uid="{00000000-0005-0000-0000-0000E1010000}"/>
    <cellStyle name="_송학하수품의(설계넣고)" xfId="483" xr:uid="{00000000-0005-0000-0000-0000E2010000}"/>
    <cellStyle name="_신태백(가실행)" xfId="484" xr:uid="{00000000-0005-0000-0000-0000E3010000}"/>
    <cellStyle name="_신태백(가실행)_1" xfId="485" xr:uid="{00000000-0005-0000-0000-0000E4010000}"/>
    <cellStyle name="_신태백(가실행)_1_경찰서-터미널간도로(투찰)②" xfId="486" xr:uid="{00000000-0005-0000-0000-0000E5010000}"/>
    <cellStyle name="_신태백(가실행)_1_경찰서-터미널간도로(투찰)②_마현생창(동양고속)" xfId="487" xr:uid="{00000000-0005-0000-0000-0000E6010000}"/>
    <cellStyle name="_신태백(가실행)_1_경찰서-터미널간도로(투찰)②_마현생창(동양고속)_왜관-태평건설" xfId="488" xr:uid="{00000000-0005-0000-0000-0000E7010000}"/>
    <cellStyle name="_신태백(가실행)_1_경찰서-터미널간도로(투찰)②_왜관-태평건설" xfId="489" xr:uid="{00000000-0005-0000-0000-0000E8010000}"/>
    <cellStyle name="_신태백(가실행)_1_마현생창(동양고속)" xfId="490" xr:uid="{00000000-0005-0000-0000-0000E9010000}"/>
    <cellStyle name="_신태백(가실행)_1_마현생창(동양고속)_왜관-태평건설" xfId="491" xr:uid="{00000000-0005-0000-0000-0000EA010000}"/>
    <cellStyle name="_신태백(가실행)_1_봉무지방산업단지도로(투찰)②" xfId="492" xr:uid="{00000000-0005-0000-0000-0000EB010000}"/>
    <cellStyle name="_신태백(가실행)_1_봉무지방산업단지도로(투찰)②_마현생창(동양고속)" xfId="493" xr:uid="{00000000-0005-0000-0000-0000EC010000}"/>
    <cellStyle name="_신태백(가실행)_1_봉무지방산업단지도로(투찰)②_마현생창(동양고속)_왜관-태평건설" xfId="494" xr:uid="{00000000-0005-0000-0000-0000ED010000}"/>
    <cellStyle name="_신태백(가실행)_1_봉무지방산업단지도로(투찰)②_왜관-태평건설" xfId="495" xr:uid="{00000000-0005-0000-0000-0000EE010000}"/>
    <cellStyle name="_신태백(가실행)_1_봉무지방산업단지도로(투찰)②+0.250%" xfId="496" xr:uid="{00000000-0005-0000-0000-0000EF010000}"/>
    <cellStyle name="_신태백(가실행)_1_봉무지방산업단지도로(투찰)②+0.250%_마현생창(동양고속)" xfId="497" xr:uid="{00000000-0005-0000-0000-0000F0010000}"/>
    <cellStyle name="_신태백(가실행)_1_봉무지방산업단지도로(투찰)②+0.250%_마현생창(동양고속)_왜관-태평건설" xfId="498" xr:uid="{00000000-0005-0000-0000-0000F1010000}"/>
    <cellStyle name="_신태백(가실행)_1_봉무지방산업단지도로(투찰)②+0.250%_왜관-태평건설" xfId="499" xr:uid="{00000000-0005-0000-0000-0000F2010000}"/>
    <cellStyle name="_신태백(가실행)_1_왜관-태평건설" xfId="500" xr:uid="{00000000-0005-0000-0000-0000F3010000}"/>
    <cellStyle name="_신태백(가실행)_1_합덕-신례원(2공구)투찰" xfId="501" xr:uid="{00000000-0005-0000-0000-0000F4010000}"/>
    <cellStyle name="_신태백(가실행)_1_합덕-신례원(2공구)투찰_경찰서-터미널간도로(투찰)②" xfId="502" xr:uid="{00000000-0005-0000-0000-0000F5010000}"/>
    <cellStyle name="_신태백(가실행)_1_합덕-신례원(2공구)투찰_경찰서-터미널간도로(투찰)②_마현생창(동양고속)" xfId="503" xr:uid="{00000000-0005-0000-0000-0000F6010000}"/>
    <cellStyle name="_신태백(가실행)_1_합덕-신례원(2공구)투찰_경찰서-터미널간도로(투찰)②_마현생창(동양고속)_왜관-태평건설" xfId="504" xr:uid="{00000000-0005-0000-0000-0000F7010000}"/>
    <cellStyle name="_신태백(가실행)_1_합덕-신례원(2공구)투찰_경찰서-터미널간도로(투찰)②_왜관-태평건설" xfId="505" xr:uid="{00000000-0005-0000-0000-0000F8010000}"/>
    <cellStyle name="_신태백(가실행)_1_합덕-신례원(2공구)투찰_마현생창(동양고속)" xfId="506" xr:uid="{00000000-0005-0000-0000-0000F9010000}"/>
    <cellStyle name="_신태백(가실행)_1_합덕-신례원(2공구)투찰_마현생창(동양고속)_왜관-태평건설" xfId="507" xr:uid="{00000000-0005-0000-0000-0000FA010000}"/>
    <cellStyle name="_신태백(가실행)_1_합덕-신례원(2공구)투찰_봉무지방산업단지도로(투찰)②" xfId="508" xr:uid="{00000000-0005-0000-0000-0000FB010000}"/>
    <cellStyle name="_신태백(가실행)_1_합덕-신례원(2공구)투찰_봉무지방산업단지도로(투찰)②_마현생창(동양고속)" xfId="509" xr:uid="{00000000-0005-0000-0000-0000FC010000}"/>
    <cellStyle name="_신태백(가실행)_1_합덕-신례원(2공구)투찰_봉무지방산업단지도로(투찰)②_마현생창(동양고속)_왜관-태평건설" xfId="510" xr:uid="{00000000-0005-0000-0000-0000FD010000}"/>
    <cellStyle name="_신태백(가실행)_1_합덕-신례원(2공구)투찰_봉무지방산업단지도로(투찰)②_왜관-태평건설" xfId="511" xr:uid="{00000000-0005-0000-0000-0000FE010000}"/>
    <cellStyle name="_신태백(가실행)_1_합덕-신례원(2공구)투찰_봉무지방산업단지도로(투찰)②+0.250%" xfId="512" xr:uid="{00000000-0005-0000-0000-0000FF010000}"/>
    <cellStyle name="_신태백(가실행)_1_합덕-신례원(2공구)투찰_봉무지방산업단지도로(투찰)②+0.250%_마현생창(동양고속)" xfId="513" xr:uid="{00000000-0005-0000-0000-000000020000}"/>
    <cellStyle name="_신태백(가실행)_1_합덕-신례원(2공구)투찰_봉무지방산업단지도로(투찰)②+0.250%_마현생창(동양고속)_왜관-태평건설" xfId="514" xr:uid="{00000000-0005-0000-0000-000001020000}"/>
    <cellStyle name="_신태백(가실행)_1_합덕-신례원(2공구)투찰_봉무지방산업단지도로(투찰)②+0.250%_왜관-태평건설" xfId="515" xr:uid="{00000000-0005-0000-0000-000002020000}"/>
    <cellStyle name="_신태백(가실행)_1_합덕-신례원(2공구)투찰_왜관-태평건설" xfId="516" xr:uid="{00000000-0005-0000-0000-000003020000}"/>
    <cellStyle name="_신태백(가실행)_1_합덕-신례원(2공구)투찰_합덕-신례원(2공구)투찰" xfId="517" xr:uid="{00000000-0005-0000-0000-000004020000}"/>
    <cellStyle name="_신태백(가실행)_1_합덕-신례원(2공구)투찰_합덕-신례원(2공구)투찰_경찰서-터미널간도로(투찰)②" xfId="518" xr:uid="{00000000-0005-0000-0000-000005020000}"/>
    <cellStyle name="_신태백(가실행)_1_합덕-신례원(2공구)투찰_합덕-신례원(2공구)투찰_경찰서-터미널간도로(투찰)②_마현생창(동양고속)" xfId="519" xr:uid="{00000000-0005-0000-0000-000006020000}"/>
    <cellStyle name="_신태백(가실행)_1_합덕-신례원(2공구)투찰_합덕-신례원(2공구)투찰_경찰서-터미널간도로(투찰)②_마현생창(동양고속)_왜관-태평건설" xfId="520" xr:uid="{00000000-0005-0000-0000-000007020000}"/>
    <cellStyle name="_신태백(가실행)_1_합덕-신례원(2공구)투찰_합덕-신례원(2공구)투찰_경찰서-터미널간도로(투찰)②_왜관-태평건설" xfId="521" xr:uid="{00000000-0005-0000-0000-000008020000}"/>
    <cellStyle name="_신태백(가실행)_1_합덕-신례원(2공구)투찰_합덕-신례원(2공구)투찰_마현생창(동양고속)" xfId="522" xr:uid="{00000000-0005-0000-0000-000009020000}"/>
    <cellStyle name="_신태백(가실행)_1_합덕-신례원(2공구)투찰_합덕-신례원(2공구)투찰_마현생창(동양고속)_왜관-태평건설" xfId="523" xr:uid="{00000000-0005-0000-0000-00000A020000}"/>
    <cellStyle name="_신태백(가실행)_1_합덕-신례원(2공구)투찰_합덕-신례원(2공구)투찰_봉무지방산업단지도로(투찰)②" xfId="524" xr:uid="{00000000-0005-0000-0000-00000B020000}"/>
    <cellStyle name="_신태백(가실행)_1_합덕-신례원(2공구)투찰_합덕-신례원(2공구)투찰_봉무지방산업단지도로(투찰)②_마현생창(동양고속)" xfId="525" xr:uid="{00000000-0005-0000-0000-00000C020000}"/>
    <cellStyle name="_신태백(가실행)_1_합덕-신례원(2공구)투찰_합덕-신례원(2공구)투찰_봉무지방산업단지도로(투찰)②_마현생창(동양고속)_왜관-태평건설" xfId="526" xr:uid="{00000000-0005-0000-0000-00000D020000}"/>
    <cellStyle name="_신태백(가실행)_1_합덕-신례원(2공구)투찰_합덕-신례원(2공구)투찰_봉무지방산업단지도로(투찰)②_왜관-태평건설" xfId="527" xr:uid="{00000000-0005-0000-0000-00000E020000}"/>
    <cellStyle name="_신태백(가실행)_1_합덕-신례원(2공구)투찰_합덕-신례원(2공구)투찰_봉무지방산업단지도로(투찰)②+0.250%" xfId="528" xr:uid="{00000000-0005-0000-0000-00000F020000}"/>
    <cellStyle name="_신태백(가실행)_1_합덕-신례원(2공구)투찰_합덕-신례원(2공구)투찰_봉무지방산업단지도로(투찰)②+0.250%_마현생창(동양고속)" xfId="529" xr:uid="{00000000-0005-0000-0000-000010020000}"/>
    <cellStyle name="_신태백(가실행)_1_합덕-신례원(2공구)투찰_합덕-신례원(2공구)투찰_봉무지방산업단지도로(투찰)②+0.250%_마현생창(동양고속)_왜관-태평건설" xfId="530" xr:uid="{00000000-0005-0000-0000-000011020000}"/>
    <cellStyle name="_신태백(가실행)_1_합덕-신례원(2공구)투찰_합덕-신례원(2공구)투찰_봉무지방산업단지도로(투찰)②+0.250%_왜관-태평건설" xfId="531" xr:uid="{00000000-0005-0000-0000-000012020000}"/>
    <cellStyle name="_신태백(가실행)_1_합덕-신례원(2공구)투찰_합덕-신례원(2공구)투찰_왜관-태평건설" xfId="532" xr:uid="{00000000-0005-0000-0000-000013020000}"/>
    <cellStyle name="_신태백(가실행)_경찰서-터미널간도로(투찰)②" xfId="533" xr:uid="{00000000-0005-0000-0000-000014020000}"/>
    <cellStyle name="_신태백(가실행)_경찰서-터미널간도로(투찰)②_마현생창(동양고속)" xfId="534" xr:uid="{00000000-0005-0000-0000-000015020000}"/>
    <cellStyle name="_신태백(가실행)_경찰서-터미널간도로(투찰)②_마현생창(동양고속)_왜관-태평건설" xfId="535" xr:uid="{00000000-0005-0000-0000-000016020000}"/>
    <cellStyle name="_신태백(가실행)_경찰서-터미널간도로(투찰)②_왜관-태평건설" xfId="536" xr:uid="{00000000-0005-0000-0000-000017020000}"/>
    <cellStyle name="_신태백(가실행)_도덕-고흥도로(투찰)" xfId="537" xr:uid="{00000000-0005-0000-0000-000018020000}"/>
    <cellStyle name="_신태백(가실행)_도덕-고흥도로(투찰)_경찰서-터미널간도로(투찰)②" xfId="538" xr:uid="{00000000-0005-0000-0000-000019020000}"/>
    <cellStyle name="_신태백(가실행)_도덕-고흥도로(투찰)_경찰서-터미널간도로(투찰)②_마현생창(동양고속)" xfId="539" xr:uid="{00000000-0005-0000-0000-00001A020000}"/>
    <cellStyle name="_신태백(가실행)_도덕-고흥도로(투찰)_경찰서-터미널간도로(투찰)②_마현생창(동양고속)_왜관-태평건설" xfId="540" xr:uid="{00000000-0005-0000-0000-00001B020000}"/>
    <cellStyle name="_신태백(가실행)_도덕-고흥도로(투찰)_경찰서-터미널간도로(투찰)②_왜관-태평건설" xfId="541" xr:uid="{00000000-0005-0000-0000-00001C020000}"/>
    <cellStyle name="_신태백(가실행)_도덕-고흥도로(투찰)_마현생창(동양고속)" xfId="542" xr:uid="{00000000-0005-0000-0000-00001D020000}"/>
    <cellStyle name="_신태백(가실행)_도덕-고흥도로(투찰)_마현생창(동양고속)_왜관-태평건설" xfId="543" xr:uid="{00000000-0005-0000-0000-00001E020000}"/>
    <cellStyle name="_신태백(가실행)_도덕-고흥도로(투찰)_봉무지방산업단지도로(투찰)②" xfId="544" xr:uid="{00000000-0005-0000-0000-00001F020000}"/>
    <cellStyle name="_신태백(가실행)_도덕-고흥도로(투찰)_봉무지방산업단지도로(투찰)②_마현생창(동양고속)" xfId="545" xr:uid="{00000000-0005-0000-0000-000020020000}"/>
    <cellStyle name="_신태백(가실행)_도덕-고흥도로(투찰)_봉무지방산업단지도로(투찰)②_마현생창(동양고속)_왜관-태평건설" xfId="546" xr:uid="{00000000-0005-0000-0000-000021020000}"/>
    <cellStyle name="_신태백(가실행)_도덕-고흥도로(투찰)_봉무지방산업단지도로(투찰)②_왜관-태평건설" xfId="547" xr:uid="{00000000-0005-0000-0000-000022020000}"/>
    <cellStyle name="_신태백(가실행)_도덕-고흥도로(투찰)_봉무지방산업단지도로(투찰)②+0.250%" xfId="548" xr:uid="{00000000-0005-0000-0000-000023020000}"/>
    <cellStyle name="_신태백(가실행)_도덕-고흥도로(투찰)_봉무지방산업단지도로(투찰)②+0.250%_마현생창(동양고속)" xfId="549" xr:uid="{00000000-0005-0000-0000-000024020000}"/>
    <cellStyle name="_신태백(가실행)_도덕-고흥도로(투찰)_봉무지방산업단지도로(투찰)②+0.250%_마현생창(동양고속)_왜관-태평건설" xfId="550" xr:uid="{00000000-0005-0000-0000-000025020000}"/>
    <cellStyle name="_신태백(가실행)_도덕-고흥도로(투찰)_봉무지방산업단지도로(투찰)②+0.250%_왜관-태평건설" xfId="551" xr:uid="{00000000-0005-0000-0000-000026020000}"/>
    <cellStyle name="_신태백(가실행)_도덕-고흥도로(투찰)_왜관-태평건설" xfId="552" xr:uid="{00000000-0005-0000-0000-000027020000}"/>
    <cellStyle name="_신태백(가실행)_도덕-고흥도로(투찰)_합덕-신례원(2공구)투찰" xfId="553" xr:uid="{00000000-0005-0000-0000-000028020000}"/>
    <cellStyle name="_신태백(가실행)_도덕-고흥도로(투찰)_합덕-신례원(2공구)투찰_경찰서-터미널간도로(투찰)②" xfId="554" xr:uid="{00000000-0005-0000-0000-000029020000}"/>
    <cellStyle name="_신태백(가실행)_도덕-고흥도로(투찰)_합덕-신례원(2공구)투찰_경찰서-터미널간도로(투찰)②_마현생창(동양고속)" xfId="555" xr:uid="{00000000-0005-0000-0000-00002A020000}"/>
    <cellStyle name="_신태백(가실행)_도덕-고흥도로(투찰)_합덕-신례원(2공구)투찰_경찰서-터미널간도로(투찰)②_마현생창(동양고속)_왜관-태평건설" xfId="556" xr:uid="{00000000-0005-0000-0000-00002B020000}"/>
    <cellStyle name="_신태백(가실행)_도덕-고흥도로(투찰)_합덕-신례원(2공구)투찰_경찰서-터미널간도로(투찰)②_왜관-태평건설" xfId="557" xr:uid="{00000000-0005-0000-0000-00002C020000}"/>
    <cellStyle name="_신태백(가실행)_도덕-고흥도로(투찰)_합덕-신례원(2공구)투찰_마현생창(동양고속)" xfId="558" xr:uid="{00000000-0005-0000-0000-00002D020000}"/>
    <cellStyle name="_신태백(가실행)_도덕-고흥도로(투찰)_합덕-신례원(2공구)투찰_마현생창(동양고속)_왜관-태평건설" xfId="559" xr:uid="{00000000-0005-0000-0000-00002E020000}"/>
    <cellStyle name="_신태백(가실행)_도덕-고흥도로(투찰)_합덕-신례원(2공구)투찰_봉무지방산업단지도로(투찰)②" xfId="560" xr:uid="{00000000-0005-0000-0000-00002F020000}"/>
    <cellStyle name="_신태백(가실행)_도덕-고흥도로(투찰)_합덕-신례원(2공구)투찰_봉무지방산업단지도로(투찰)②_마현생창(동양고속)" xfId="561" xr:uid="{00000000-0005-0000-0000-000030020000}"/>
    <cellStyle name="_신태백(가실행)_도덕-고흥도로(투찰)_합덕-신례원(2공구)투찰_봉무지방산업단지도로(투찰)②_마현생창(동양고속)_왜관-태평건설" xfId="562" xr:uid="{00000000-0005-0000-0000-000031020000}"/>
    <cellStyle name="_신태백(가실행)_도덕-고흥도로(투찰)_합덕-신례원(2공구)투찰_봉무지방산업단지도로(투찰)②_왜관-태평건설" xfId="563" xr:uid="{00000000-0005-0000-0000-000032020000}"/>
    <cellStyle name="_신태백(가실행)_도덕-고흥도로(투찰)_합덕-신례원(2공구)투찰_봉무지방산업단지도로(투찰)②+0.250%" xfId="564" xr:uid="{00000000-0005-0000-0000-000033020000}"/>
    <cellStyle name="_신태백(가실행)_도덕-고흥도로(투찰)_합덕-신례원(2공구)투찰_봉무지방산업단지도로(투찰)②+0.250%_마현생창(동양고속)" xfId="565" xr:uid="{00000000-0005-0000-0000-000034020000}"/>
    <cellStyle name="_신태백(가실행)_도덕-고흥도로(투찰)_합덕-신례원(2공구)투찰_봉무지방산업단지도로(투찰)②+0.250%_마현생창(동양고속)_왜관-태평건설" xfId="566" xr:uid="{00000000-0005-0000-0000-000035020000}"/>
    <cellStyle name="_신태백(가실행)_도덕-고흥도로(투찰)_합덕-신례원(2공구)투찰_봉무지방산업단지도로(투찰)②+0.250%_왜관-태평건설" xfId="567" xr:uid="{00000000-0005-0000-0000-000036020000}"/>
    <cellStyle name="_신태백(가실행)_도덕-고흥도로(투찰)_합덕-신례원(2공구)투찰_왜관-태평건설" xfId="568" xr:uid="{00000000-0005-0000-0000-000037020000}"/>
    <cellStyle name="_신태백(가실행)_도덕-고흥도로(투찰)_합덕-신례원(2공구)투찰_합덕-신례원(2공구)투찰" xfId="569" xr:uid="{00000000-0005-0000-0000-000038020000}"/>
    <cellStyle name="_신태백(가실행)_도덕-고흥도로(투찰)_합덕-신례원(2공구)투찰_합덕-신례원(2공구)투찰_경찰서-터미널간도로(투찰)②" xfId="570" xr:uid="{00000000-0005-0000-0000-000039020000}"/>
    <cellStyle name="_신태백(가실행)_도덕-고흥도로(투찰)_합덕-신례원(2공구)투찰_합덕-신례원(2공구)투찰_경찰서-터미널간도로(투찰)②_마현생창(동양고속)" xfId="571" xr:uid="{00000000-0005-0000-0000-00003A020000}"/>
    <cellStyle name="_신태백(가실행)_도덕-고흥도로(투찰)_합덕-신례원(2공구)투찰_합덕-신례원(2공구)투찰_경찰서-터미널간도로(투찰)②_마현생창(동양고속)_왜관-태평건설" xfId="572" xr:uid="{00000000-0005-0000-0000-00003B020000}"/>
    <cellStyle name="_신태백(가실행)_도덕-고흥도로(투찰)_합덕-신례원(2공구)투찰_합덕-신례원(2공구)투찰_경찰서-터미널간도로(투찰)②_왜관-태평건설" xfId="573" xr:uid="{00000000-0005-0000-0000-00003C020000}"/>
    <cellStyle name="_신태백(가실행)_도덕-고흥도로(투찰)_합덕-신례원(2공구)투찰_합덕-신례원(2공구)투찰_마현생창(동양고속)" xfId="574" xr:uid="{00000000-0005-0000-0000-00003D020000}"/>
    <cellStyle name="_신태백(가실행)_도덕-고흥도로(투찰)_합덕-신례원(2공구)투찰_합덕-신례원(2공구)투찰_마현생창(동양고속)_왜관-태평건설" xfId="575" xr:uid="{00000000-0005-0000-0000-00003E020000}"/>
    <cellStyle name="_신태백(가실행)_도덕-고흥도로(투찰)_합덕-신례원(2공구)투찰_합덕-신례원(2공구)투찰_봉무지방산업단지도로(투찰)②" xfId="576" xr:uid="{00000000-0005-0000-0000-00003F020000}"/>
    <cellStyle name="_신태백(가실행)_도덕-고흥도로(투찰)_합덕-신례원(2공구)투찰_합덕-신례원(2공구)투찰_봉무지방산업단지도로(투찰)②_마현생창(동양고속)" xfId="577" xr:uid="{00000000-0005-0000-0000-000040020000}"/>
    <cellStyle name="_신태백(가실행)_도덕-고흥도로(투찰)_합덕-신례원(2공구)투찰_합덕-신례원(2공구)투찰_봉무지방산업단지도로(투찰)②_마현생창(동양고속)_왜관-태평건설" xfId="578" xr:uid="{00000000-0005-0000-0000-000041020000}"/>
    <cellStyle name="_신태백(가실행)_도덕-고흥도로(투찰)_합덕-신례원(2공구)투찰_합덕-신례원(2공구)투찰_봉무지방산업단지도로(투찰)②_왜관-태평건설" xfId="579" xr:uid="{00000000-0005-0000-0000-000042020000}"/>
    <cellStyle name="_신태백(가실행)_도덕-고흥도로(투찰)_합덕-신례원(2공구)투찰_합덕-신례원(2공구)투찰_봉무지방산업단지도로(투찰)②+0.250%" xfId="580" xr:uid="{00000000-0005-0000-0000-000043020000}"/>
    <cellStyle name="_신태백(가실행)_도덕-고흥도로(투찰)_합덕-신례원(2공구)투찰_합덕-신례원(2공구)투찰_봉무지방산업단지도로(투찰)②+0.250%_마현생창(동양고속)" xfId="581" xr:uid="{00000000-0005-0000-0000-000044020000}"/>
    <cellStyle name="_신태백(가실행)_도덕-고흥도로(투찰)_합덕-신례원(2공구)투찰_합덕-신례원(2공구)투찰_봉무지방산업단지도로(투찰)②+0.250%_마현생창(동양고속)_왜관-태평건설" xfId="582" xr:uid="{00000000-0005-0000-0000-000045020000}"/>
    <cellStyle name="_신태백(가실행)_도덕-고흥도로(투찰)_합덕-신례원(2공구)투찰_합덕-신례원(2공구)투찰_봉무지방산업단지도로(투찰)②+0.250%_왜관-태평건설" xfId="583" xr:uid="{00000000-0005-0000-0000-000046020000}"/>
    <cellStyle name="_신태백(가실행)_도덕-고흥도로(투찰)_합덕-신례원(2공구)투찰_합덕-신례원(2공구)투찰_왜관-태평건설" xfId="584" xr:uid="{00000000-0005-0000-0000-000047020000}"/>
    <cellStyle name="_신태백(가실행)_마현생창(동양고속)" xfId="585" xr:uid="{00000000-0005-0000-0000-000048020000}"/>
    <cellStyle name="_신태백(가실행)_마현생창(동양고속)_왜관-태평건설" xfId="586" xr:uid="{00000000-0005-0000-0000-000049020000}"/>
    <cellStyle name="_신태백(가실행)_봉무지방산업단지도로(투찰)②" xfId="587" xr:uid="{00000000-0005-0000-0000-00004A020000}"/>
    <cellStyle name="_신태백(가실행)_봉무지방산업단지도로(투찰)②_마현생창(동양고속)" xfId="588" xr:uid="{00000000-0005-0000-0000-00004B020000}"/>
    <cellStyle name="_신태백(가실행)_봉무지방산업단지도로(투찰)②_마현생창(동양고속)_왜관-태평건설" xfId="589" xr:uid="{00000000-0005-0000-0000-00004C020000}"/>
    <cellStyle name="_신태백(가실행)_봉무지방산업단지도로(투찰)②_왜관-태평건설" xfId="590" xr:uid="{00000000-0005-0000-0000-00004D020000}"/>
    <cellStyle name="_신태백(가실행)_봉무지방산업단지도로(투찰)②+0.250%" xfId="591" xr:uid="{00000000-0005-0000-0000-00004E020000}"/>
    <cellStyle name="_신태백(가실행)_봉무지방산업단지도로(투찰)②+0.250%_마현생창(동양고속)" xfId="592" xr:uid="{00000000-0005-0000-0000-00004F020000}"/>
    <cellStyle name="_신태백(가실행)_봉무지방산업단지도로(투찰)②+0.250%_마현생창(동양고속)_왜관-태평건설" xfId="593" xr:uid="{00000000-0005-0000-0000-000050020000}"/>
    <cellStyle name="_신태백(가실행)_봉무지방산업단지도로(투찰)②+0.250%_왜관-태평건설" xfId="594" xr:uid="{00000000-0005-0000-0000-000051020000}"/>
    <cellStyle name="_신태백(가실행)_안산부대(투찰)⑤" xfId="595" xr:uid="{00000000-0005-0000-0000-000052020000}"/>
    <cellStyle name="_신태백(가실행)_안산부대(투찰)⑤_경찰서-터미널간도로(투찰)②" xfId="596" xr:uid="{00000000-0005-0000-0000-000053020000}"/>
    <cellStyle name="_신태백(가실행)_안산부대(투찰)⑤_경찰서-터미널간도로(투찰)②_마현생창(동양고속)" xfId="597" xr:uid="{00000000-0005-0000-0000-000054020000}"/>
    <cellStyle name="_신태백(가실행)_안산부대(투찰)⑤_경찰서-터미널간도로(투찰)②_마현생창(동양고속)_왜관-태평건설" xfId="598" xr:uid="{00000000-0005-0000-0000-000055020000}"/>
    <cellStyle name="_신태백(가실행)_안산부대(투찰)⑤_경찰서-터미널간도로(투찰)②_왜관-태평건설" xfId="599" xr:uid="{00000000-0005-0000-0000-000056020000}"/>
    <cellStyle name="_신태백(가실행)_안산부대(투찰)⑤_마현생창(동양고속)" xfId="600" xr:uid="{00000000-0005-0000-0000-000057020000}"/>
    <cellStyle name="_신태백(가실행)_안산부대(투찰)⑤_마현생창(동양고속)_왜관-태평건설" xfId="601" xr:uid="{00000000-0005-0000-0000-000058020000}"/>
    <cellStyle name="_신태백(가실행)_안산부대(투찰)⑤_봉무지방산업단지도로(투찰)②" xfId="602" xr:uid="{00000000-0005-0000-0000-000059020000}"/>
    <cellStyle name="_신태백(가실행)_안산부대(투찰)⑤_봉무지방산업단지도로(투찰)②_마현생창(동양고속)" xfId="603" xr:uid="{00000000-0005-0000-0000-00005A020000}"/>
    <cellStyle name="_신태백(가실행)_안산부대(투찰)⑤_봉무지방산업단지도로(투찰)②_마현생창(동양고속)_왜관-태평건설" xfId="604" xr:uid="{00000000-0005-0000-0000-00005B020000}"/>
    <cellStyle name="_신태백(가실행)_안산부대(투찰)⑤_봉무지방산업단지도로(투찰)②_왜관-태평건설" xfId="605" xr:uid="{00000000-0005-0000-0000-00005C020000}"/>
    <cellStyle name="_신태백(가실행)_안산부대(투찰)⑤_봉무지방산업단지도로(투찰)②+0.250%" xfId="606" xr:uid="{00000000-0005-0000-0000-00005D020000}"/>
    <cellStyle name="_신태백(가실행)_안산부대(투찰)⑤_봉무지방산업단지도로(투찰)②+0.250%_마현생창(동양고속)" xfId="607" xr:uid="{00000000-0005-0000-0000-00005E020000}"/>
    <cellStyle name="_신태백(가실행)_안산부대(투찰)⑤_봉무지방산업단지도로(투찰)②+0.250%_마현생창(동양고속)_왜관-태평건설" xfId="608" xr:uid="{00000000-0005-0000-0000-00005F020000}"/>
    <cellStyle name="_신태백(가실행)_안산부대(투찰)⑤_봉무지방산업단지도로(투찰)②+0.250%_왜관-태평건설" xfId="609" xr:uid="{00000000-0005-0000-0000-000060020000}"/>
    <cellStyle name="_신태백(가실행)_안산부대(투찰)⑤_왜관-태평건설" xfId="610" xr:uid="{00000000-0005-0000-0000-000061020000}"/>
    <cellStyle name="_신태백(가실행)_안산부대(투찰)⑤_합덕-신례원(2공구)투찰" xfId="611" xr:uid="{00000000-0005-0000-0000-000062020000}"/>
    <cellStyle name="_신태백(가실행)_안산부대(투찰)⑤_합덕-신례원(2공구)투찰_경찰서-터미널간도로(투찰)②" xfId="612" xr:uid="{00000000-0005-0000-0000-000063020000}"/>
    <cellStyle name="_신태백(가실행)_안산부대(투찰)⑤_합덕-신례원(2공구)투찰_경찰서-터미널간도로(투찰)②_마현생창(동양고속)" xfId="613" xr:uid="{00000000-0005-0000-0000-000064020000}"/>
    <cellStyle name="_신태백(가실행)_안산부대(투찰)⑤_합덕-신례원(2공구)투찰_경찰서-터미널간도로(투찰)②_마현생창(동양고속)_왜관-태평건설" xfId="614" xr:uid="{00000000-0005-0000-0000-000065020000}"/>
    <cellStyle name="_신태백(가실행)_안산부대(투찰)⑤_합덕-신례원(2공구)투찰_경찰서-터미널간도로(투찰)②_왜관-태평건설" xfId="615" xr:uid="{00000000-0005-0000-0000-000066020000}"/>
    <cellStyle name="_신태백(가실행)_안산부대(투찰)⑤_합덕-신례원(2공구)투찰_마현생창(동양고속)" xfId="616" xr:uid="{00000000-0005-0000-0000-000067020000}"/>
    <cellStyle name="_신태백(가실행)_안산부대(투찰)⑤_합덕-신례원(2공구)투찰_마현생창(동양고속)_왜관-태평건설" xfId="617" xr:uid="{00000000-0005-0000-0000-000068020000}"/>
    <cellStyle name="_신태백(가실행)_안산부대(투찰)⑤_합덕-신례원(2공구)투찰_봉무지방산업단지도로(투찰)②" xfId="618" xr:uid="{00000000-0005-0000-0000-000069020000}"/>
    <cellStyle name="_신태백(가실행)_안산부대(투찰)⑤_합덕-신례원(2공구)투찰_봉무지방산업단지도로(투찰)②_마현생창(동양고속)" xfId="619" xr:uid="{00000000-0005-0000-0000-00006A020000}"/>
    <cellStyle name="_신태백(가실행)_안산부대(투찰)⑤_합덕-신례원(2공구)투찰_봉무지방산업단지도로(투찰)②_마현생창(동양고속)_왜관-태평건설" xfId="620" xr:uid="{00000000-0005-0000-0000-00006B020000}"/>
    <cellStyle name="_신태백(가실행)_안산부대(투찰)⑤_합덕-신례원(2공구)투찰_봉무지방산업단지도로(투찰)②_왜관-태평건설" xfId="621" xr:uid="{00000000-0005-0000-0000-00006C020000}"/>
    <cellStyle name="_신태백(가실행)_안산부대(투찰)⑤_합덕-신례원(2공구)투찰_봉무지방산업단지도로(투찰)②+0.250%" xfId="622" xr:uid="{00000000-0005-0000-0000-00006D020000}"/>
    <cellStyle name="_신태백(가실행)_안산부대(투찰)⑤_합덕-신례원(2공구)투찰_봉무지방산업단지도로(투찰)②+0.250%_마현생창(동양고속)" xfId="623" xr:uid="{00000000-0005-0000-0000-00006E020000}"/>
    <cellStyle name="_신태백(가실행)_안산부대(투찰)⑤_합덕-신례원(2공구)투찰_봉무지방산업단지도로(투찰)②+0.250%_마현생창(동양고속)_왜관-태평건설" xfId="624" xr:uid="{00000000-0005-0000-0000-00006F020000}"/>
    <cellStyle name="_신태백(가실행)_안산부대(투찰)⑤_합덕-신례원(2공구)투찰_봉무지방산업단지도로(투찰)②+0.250%_왜관-태평건설" xfId="625" xr:uid="{00000000-0005-0000-0000-000070020000}"/>
    <cellStyle name="_신태백(가실행)_안산부대(투찰)⑤_합덕-신례원(2공구)투찰_왜관-태평건설" xfId="626" xr:uid="{00000000-0005-0000-0000-000071020000}"/>
    <cellStyle name="_신태백(가실행)_안산부대(투찰)⑤_합덕-신례원(2공구)투찰_합덕-신례원(2공구)투찰" xfId="627" xr:uid="{00000000-0005-0000-0000-000072020000}"/>
    <cellStyle name="_신태백(가실행)_안산부대(투찰)⑤_합덕-신례원(2공구)투찰_합덕-신례원(2공구)투찰_경찰서-터미널간도로(투찰)②" xfId="628" xr:uid="{00000000-0005-0000-0000-000073020000}"/>
    <cellStyle name="_신태백(가실행)_안산부대(투찰)⑤_합덕-신례원(2공구)투찰_합덕-신례원(2공구)투찰_경찰서-터미널간도로(투찰)②_마현생창(동양고속)" xfId="629" xr:uid="{00000000-0005-0000-0000-000074020000}"/>
    <cellStyle name="_신태백(가실행)_안산부대(투찰)⑤_합덕-신례원(2공구)투찰_합덕-신례원(2공구)투찰_경찰서-터미널간도로(투찰)②_마현생창(동양고속)_왜관-태평건설" xfId="630" xr:uid="{00000000-0005-0000-0000-000075020000}"/>
    <cellStyle name="_신태백(가실행)_안산부대(투찰)⑤_합덕-신례원(2공구)투찰_합덕-신례원(2공구)투찰_경찰서-터미널간도로(투찰)②_왜관-태평건설" xfId="631" xr:uid="{00000000-0005-0000-0000-000076020000}"/>
    <cellStyle name="_신태백(가실행)_안산부대(투찰)⑤_합덕-신례원(2공구)투찰_합덕-신례원(2공구)투찰_마현생창(동양고속)" xfId="632" xr:uid="{00000000-0005-0000-0000-000077020000}"/>
    <cellStyle name="_신태백(가실행)_안산부대(투찰)⑤_합덕-신례원(2공구)투찰_합덕-신례원(2공구)투찰_마현생창(동양고속)_왜관-태평건설" xfId="633" xr:uid="{00000000-0005-0000-0000-000078020000}"/>
    <cellStyle name="_신태백(가실행)_안산부대(투찰)⑤_합덕-신례원(2공구)투찰_합덕-신례원(2공구)투찰_봉무지방산업단지도로(투찰)②" xfId="634" xr:uid="{00000000-0005-0000-0000-000079020000}"/>
    <cellStyle name="_신태백(가실행)_안산부대(투찰)⑤_합덕-신례원(2공구)투찰_합덕-신례원(2공구)투찰_봉무지방산업단지도로(투찰)②_마현생창(동양고속)" xfId="635" xr:uid="{00000000-0005-0000-0000-00007A020000}"/>
    <cellStyle name="_신태백(가실행)_안산부대(투찰)⑤_합덕-신례원(2공구)투찰_합덕-신례원(2공구)투찰_봉무지방산업단지도로(투찰)②_마현생창(동양고속)_왜관-태평건설" xfId="636" xr:uid="{00000000-0005-0000-0000-00007B020000}"/>
    <cellStyle name="_신태백(가실행)_안산부대(투찰)⑤_합덕-신례원(2공구)투찰_합덕-신례원(2공구)투찰_봉무지방산업단지도로(투찰)②_왜관-태평건설" xfId="637" xr:uid="{00000000-0005-0000-0000-00007C020000}"/>
    <cellStyle name="_신태백(가실행)_안산부대(투찰)⑤_합덕-신례원(2공구)투찰_합덕-신례원(2공구)투찰_봉무지방산업단지도로(투찰)②+0.250%" xfId="638" xr:uid="{00000000-0005-0000-0000-00007D020000}"/>
    <cellStyle name="_신태백(가실행)_안산부대(투찰)⑤_합덕-신례원(2공구)투찰_합덕-신례원(2공구)투찰_봉무지방산업단지도로(투찰)②+0.250%_마현생창(동양고속)" xfId="639" xr:uid="{00000000-0005-0000-0000-00007E020000}"/>
    <cellStyle name="_신태백(가실행)_안산부대(투찰)⑤_합덕-신례원(2공구)투찰_합덕-신례원(2공구)투찰_봉무지방산업단지도로(투찰)②+0.250%_마현생창(동양고속)_왜관-태평건설" xfId="640" xr:uid="{00000000-0005-0000-0000-00007F020000}"/>
    <cellStyle name="_신태백(가실행)_안산부대(투찰)⑤_합덕-신례원(2공구)투찰_합덕-신례원(2공구)투찰_봉무지방산업단지도로(투찰)②+0.250%_왜관-태평건설" xfId="641" xr:uid="{00000000-0005-0000-0000-000080020000}"/>
    <cellStyle name="_신태백(가실행)_안산부대(투찰)⑤_합덕-신례원(2공구)투찰_합덕-신례원(2공구)투찰_왜관-태평건설" xfId="642" xr:uid="{00000000-0005-0000-0000-000081020000}"/>
    <cellStyle name="_신태백(가실행)_양곡부두(투찰)-0.31%" xfId="643" xr:uid="{00000000-0005-0000-0000-000082020000}"/>
    <cellStyle name="_신태백(가실행)_양곡부두(투찰)-0.31%_경찰서-터미널간도로(투찰)②" xfId="644" xr:uid="{00000000-0005-0000-0000-000083020000}"/>
    <cellStyle name="_신태백(가실행)_양곡부두(투찰)-0.31%_경찰서-터미널간도로(투찰)②_마현생창(동양고속)" xfId="645" xr:uid="{00000000-0005-0000-0000-000084020000}"/>
    <cellStyle name="_신태백(가실행)_양곡부두(투찰)-0.31%_경찰서-터미널간도로(투찰)②_마현생창(동양고속)_왜관-태평건설" xfId="646" xr:uid="{00000000-0005-0000-0000-000085020000}"/>
    <cellStyle name="_신태백(가실행)_양곡부두(투찰)-0.31%_경찰서-터미널간도로(투찰)②_왜관-태평건설" xfId="647" xr:uid="{00000000-0005-0000-0000-000086020000}"/>
    <cellStyle name="_신태백(가실행)_양곡부두(투찰)-0.31%_마현생창(동양고속)" xfId="648" xr:uid="{00000000-0005-0000-0000-000087020000}"/>
    <cellStyle name="_신태백(가실행)_양곡부두(투찰)-0.31%_마현생창(동양고속)_왜관-태평건설" xfId="649" xr:uid="{00000000-0005-0000-0000-000088020000}"/>
    <cellStyle name="_신태백(가실행)_양곡부두(투찰)-0.31%_봉무지방산업단지도로(투찰)②" xfId="650" xr:uid="{00000000-0005-0000-0000-000089020000}"/>
    <cellStyle name="_신태백(가실행)_양곡부두(투찰)-0.31%_봉무지방산업단지도로(투찰)②_마현생창(동양고속)" xfId="651" xr:uid="{00000000-0005-0000-0000-00008A020000}"/>
    <cellStyle name="_신태백(가실행)_양곡부두(투찰)-0.31%_봉무지방산업단지도로(투찰)②_마현생창(동양고속)_왜관-태평건설" xfId="652" xr:uid="{00000000-0005-0000-0000-00008B020000}"/>
    <cellStyle name="_신태백(가실행)_양곡부두(투찰)-0.31%_봉무지방산업단지도로(투찰)②_왜관-태평건설" xfId="653" xr:uid="{00000000-0005-0000-0000-00008C020000}"/>
    <cellStyle name="_신태백(가실행)_양곡부두(투찰)-0.31%_봉무지방산업단지도로(투찰)②+0.250%" xfId="654" xr:uid="{00000000-0005-0000-0000-00008D020000}"/>
    <cellStyle name="_신태백(가실행)_양곡부두(투찰)-0.31%_봉무지방산업단지도로(투찰)②+0.250%_마현생창(동양고속)" xfId="655" xr:uid="{00000000-0005-0000-0000-00008E020000}"/>
    <cellStyle name="_신태백(가실행)_양곡부두(투찰)-0.31%_봉무지방산업단지도로(투찰)②+0.250%_마현생창(동양고속)_왜관-태평건설" xfId="656" xr:uid="{00000000-0005-0000-0000-00008F020000}"/>
    <cellStyle name="_신태백(가실행)_양곡부두(투찰)-0.31%_봉무지방산업단지도로(투찰)②+0.250%_왜관-태평건설" xfId="657" xr:uid="{00000000-0005-0000-0000-000090020000}"/>
    <cellStyle name="_신태백(가실행)_양곡부두(투찰)-0.31%_왜관-태평건설" xfId="658" xr:uid="{00000000-0005-0000-0000-000091020000}"/>
    <cellStyle name="_신태백(가실행)_양곡부두(투찰)-0.31%_합덕-신례원(2공구)투찰" xfId="659" xr:uid="{00000000-0005-0000-0000-000092020000}"/>
    <cellStyle name="_신태백(가실행)_양곡부두(투찰)-0.31%_합덕-신례원(2공구)투찰_경찰서-터미널간도로(투찰)②" xfId="660" xr:uid="{00000000-0005-0000-0000-000093020000}"/>
    <cellStyle name="_신태백(가실행)_양곡부두(투찰)-0.31%_합덕-신례원(2공구)투찰_경찰서-터미널간도로(투찰)②_마현생창(동양고속)" xfId="661" xr:uid="{00000000-0005-0000-0000-000094020000}"/>
    <cellStyle name="_신태백(가실행)_양곡부두(투찰)-0.31%_합덕-신례원(2공구)투찰_경찰서-터미널간도로(투찰)②_마현생창(동양고속)_왜관-태평건설" xfId="662" xr:uid="{00000000-0005-0000-0000-000095020000}"/>
    <cellStyle name="_신태백(가실행)_양곡부두(투찰)-0.31%_합덕-신례원(2공구)투찰_경찰서-터미널간도로(투찰)②_왜관-태평건설" xfId="663" xr:uid="{00000000-0005-0000-0000-000096020000}"/>
    <cellStyle name="_신태백(가실행)_양곡부두(투찰)-0.31%_합덕-신례원(2공구)투찰_마현생창(동양고속)" xfId="664" xr:uid="{00000000-0005-0000-0000-000097020000}"/>
    <cellStyle name="_신태백(가실행)_양곡부두(투찰)-0.31%_합덕-신례원(2공구)투찰_마현생창(동양고속)_왜관-태평건설" xfId="665" xr:uid="{00000000-0005-0000-0000-000098020000}"/>
    <cellStyle name="_신태백(가실행)_양곡부두(투찰)-0.31%_합덕-신례원(2공구)투찰_봉무지방산업단지도로(투찰)②" xfId="666" xr:uid="{00000000-0005-0000-0000-000099020000}"/>
    <cellStyle name="_신태백(가실행)_양곡부두(투찰)-0.31%_합덕-신례원(2공구)투찰_봉무지방산업단지도로(투찰)②_마현생창(동양고속)" xfId="667" xr:uid="{00000000-0005-0000-0000-00009A020000}"/>
    <cellStyle name="_신태백(가실행)_양곡부두(투찰)-0.31%_합덕-신례원(2공구)투찰_봉무지방산업단지도로(투찰)②_마현생창(동양고속)_왜관-태평건설" xfId="668" xr:uid="{00000000-0005-0000-0000-00009B020000}"/>
    <cellStyle name="_신태백(가실행)_양곡부두(투찰)-0.31%_합덕-신례원(2공구)투찰_봉무지방산업단지도로(투찰)②_왜관-태평건설" xfId="669" xr:uid="{00000000-0005-0000-0000-00009C020000}"/>
    <cellStyle name="_신태백(가실행)_양곡부두(투찰)-0.31%_합덕-신례원(2공구)투찰_봉무지방산업단지도로(투찰)②+0.250%" xfId="670" xr:uid="{00000000-0005-0000-0000-00009D020000}"/>
    <cellStyle name="_신태백(가실행)_양곡부두(투찰)-0.31%_합덕-신례원(2공구)투찰_봉무지방산업단지도로(투찰)②+0.250%_마현생창(동양고속)" xfId="671" xr:uid="{00000000-0005-0000-0000-00009E020000}"/>
    <cellStyle name="_신태백(가실행)_양곡부두(투찰)-0.31%_합덕-신례원(2공구)투찰_봉무지방산업단지도로(투찰)②+0.250%_마현생창(동양고속)_왜관-태평건설" xfId="672" xr:uid="{00000000-0005-0000-0000-00009F020000}"/>
    <cellStyle name="_신태백(가실행)_양곡부두(투찰)-0.31%_합덕-신례원(2공구)투찰_봉무지방산업단지도로(투찰)②+0.250%_왜관-태평건설" xfId="673" xr:uid="{00000000-0005-0000-0000-0000A0020000}"/>
    <cellStyle name="_신태백(가실행)_양곡부두(투찰)-0.31%_합덕-신례원(2공구)투찰_왜관-태평건설" xfId="674" xr:uid="{00000000-0005-0000-0000-0000A1020000}"/>
    <cellStyle name="_신태백(가실행)_양곡부두(투찰)-0.31%_합덕-신례원(2공구)투찰_합덕-신례원(2공구)투찰" xfId="675" xr:uid="{00000000-0005-0000-0000-0000A2020000}"/>
    <cellStyle name="_신태백(가실행)_양곡부두(투찰)-0.31%_합덕-신례원(2공구)투찰_합덕-신례원(2공구)투찰_경찰서-터미널간도로(투찰)②" xfId="676" xr:uid="{00000000-0005-0000-0000-0000A3020000}"/>
    <cellStyle name="_신태백(가실행)_양곡부두(투찰)-0.31%_합덕-신례원(2공구)투찰_합덕-신례원(2공구)투찰_경찰서-터미널간도로(투찰)②_마현생창(동양고속)" xfId="677" xr:uid="{00000000-0005-0000-0000-0000A4020000}"/>
    <cellStyle name="_신태백(가실행)_양곡부두(투찰)-0.31%_합덕-신례원(2공구)투찰_합덕-신례원(2공구)투찰_경찰서-터미널간도로(투찰)②_마현생창(동양고속)_왜관-태평건설" xfId="678" xr:uid="{00000000-0005-0000-0000-0000A5020000}"/>
    <cellStyle name="_신태백(가실행)_양곡부두(투찰)-0.31%_합덕-신례원(2공구)투찰_합덕-신례원(2공구)투찰_경찰서-터미널간도로(투찰)②_왜관-태평건설" xfId="679" xr:uid="{00000000-0005-0000-0000-0000A6020000}"/>
    <cellStyle name="_신태백(가실행)_양곡부두(투찰)-0.31%_합덕-신례원(2공구)투찰_합덕-신례원(2공구)투찰_마현생창(동양고속)" xfId="680" xr:uid="{00000000-0005-0000-0000-0000A7020000}"/>
    <cellStyle name="_신태백(가실행)_양곡부두(투찰)-0.31%_합덕-신례원(2공구)투찰_합덕-신례원(2공구)투찰_마현생창(동양고속)_왜관-태평건설" xfId="681" xr:uid="{00000000-0005-0000-0000-0000A8020000}"/>
    <cellStyle name="_신태백(가실행)_양곡부두(투찰)-0.31%_합덕-신례원(2공구)투찰_합덕-신례원(2공구)투찰_봉무지방산업단지도로(투찰)②" xfId="682" xr:uid="{00000000-0005-0000-0000-0000A9020000}"/>
    <cellStyle name="_신태백(가실행)_양곡부두(투찰)-0.31%_합덕-신례원(2공구)투찰_합덕-신례원(2공구)투찰_봉무지방산업단지도로(투찰)②_마현생창(동양고속)" xfId="683" xr:uid="{00000000-0005-0000-0000-0000AA020000}"/>
    <cellStyle name="_신태백(가실행)_양곡부두(투찰)-0.31%_합덕-신례원(2공구)투찰_합덕-신례원(2공구)투찰_봉무지방산업단지도로(투찰)②_마현생창(동양고속)_왜관-태평건설" xfId="684" xr:uid="{00000000-0005-0000-0000-0000AB020000}"/>
    <cellStyle name="_신태백(가실행)_양곡부두(투찰)-0.31%_합덕-신례원(2공구)투찰_합덕-신례원(2공구)투찰_봉무지방산업단지도로(투찰)②_왜관-태평건설" xfId="685" xr:uid="{00000000-0005-0000-0000-0000AC020000}"/>
    <cellStyle name="_신태백(가실행)_양곡부두(투찰)-0.31%_합덕-신례원(2공구)투찰_합덕-신례원(2공구)투찰_봉무지방산업단지도로(투찰)②+0.250%" xfId="686" xr:uid="{00000000-0005-0000-0000-0000AD020000}"/>
    <cellStyle name="_신태백(가실행)_양곡부두(투찰)-0.31%_합덕-신례원(2공구)투찰_합덕-신례원(2공구)투찰_봉무지방산업단지도로(투찰)②+0.250%_마현생창(동양고속)" xfId="687" xr:uid="{00000000-0005-0000-0000-0000AE020000}"/>
    <cellStyle name="_신태백(가실행)_양곡부두(투찰)-0.31%_합덕-신례원(2공구)투찰_합덕-신례원(2공구)투찰_봉무지방산업단지도로(투찰)②+0.250%_마현생창(동양고속)_왜관-태평건설" xfId="688" xr:uid="{00000000-0005-0000-0000-0000AF020000}"/>
    <cellStyle name="_신태백(가실행)_양곡부두(투찰)-0.31%_합덕-신례원(2공구)투찰_합덕-신례원(2공구)투찰_봉무지방산업단지도로(투찰)②+0.250%_왜관-태평건설" xfId="689" xr:uid="{00000000-0005-0000-0000-0000B0020000}"/>
    <cellStyle name="_신태백(가실행)_양곡부두(투찰)-0.31%_합덕-신례원(2공구)투찰_합덕-신례원(2공구)투찰_왜관-태평건설" xfId="690" xr:uid="{00000000-0005-0000-0000-0000B1020000}"/>
    <cellStyle name="_신태백(가실행)_왜관-태평건설" xfId="691" xr:uid="{00000000-0005-0000-0000-0000B2020000}"/>
    <cellStyle name="_신태백(가실행)_창원상수도(토목)투찰" xfId="692" xr:uid="{00000000-0005-0000-0000-0000B3020000}"/>
    <cellStyle name="_신태백(가실행)_창원상수도(토목)투찰_경찰서-터미널간도로(투찰)②" xfId="693" xr:uid="{00000000-0005-0000-0000-0000B4020000}"/>
    <cellStyle name="_신태백(가실행)_창원상수도(토목)투찰_경찰서-터미널간도로(투찰)②_마현생창(동양고속)" xfId="694" xr:uid="{00000000-0005-0000-0000-0000B5020000}"/>
    <cellStyle name="_신태백(가실행)_창원상수도(토목)투찰_경찰서-터미널간도로(투찰)②_마현생창(동양고속)_왜관-태평건설" xfId="695" xr:uid="{00000000-0005-0000-0000-0000B6020000}"/>
    <cellStyle name="_신태백(가실행)_창원상수도(토목)투찰_경찰서-터미널간도로(투찰)②_왜관-태평건설" xfId="696" xr:uid="{00000000-0005-0000-0000-0000B7020000}"/>
    <cellStyle name="_신태백(가실행)_창원상수도(토목)투찰_마현생창(동양고속)" xfId="697" xr:uid="{00000000-0005-0000-0000-0000B8020000}"/>
    <cellStyle name="_신태백(가실행)_창원상수도(토목)투찰_마현생창(동양고속)_왜관-태평건설" xfId="698" xr:uid="{00000000-0005-0000-0000-0000B9020000}"/>
    <cellStyle name="_신태백(가실행)_창원상수도(토목)투찰_봉무지방산업단지도로(투찰)②" xfId="699" xr:uid="{00000000-0005-0000-0000-0000BA020000}"/>
    <cellStyle name="_신태백(가실행)_창원상수도(토목)투찰_봉무지방산업단지도로(투찰)②_마현생창(동양고속)" xfId="700" xr:uid="{00000000-0005-0000-0000-0000BB020000}"/>
    <cellStyle name="_신태백(가실행)_창원상수도(토목)투찰_봉무지방산업단지도로(투찰)②_마현생창(동양고속)_왜관-태평건설" xfId="701" xr:uid="{00000000-0005-0000-0000-0000BC020000}"/>
    <cellStyle name="_신태백(가실행)_창원상수도(토목)투찰_봉무지방산업단지도로(투찰)②_왜관-태평건설" xfId="702" xr:uid="{00000000-0005-0000-0000-0000BD020000}"/>
    <cellStyle name="_신태백(가실행)_창원상수도(토목)투찰_봉무지방산업단지도로(투찰)②+0.250%" xfId="703" xr:uid="{00000000-0005-0000-0000-0000BE020000}"/>
    <cellStyle name="_신태백(가실행)_창원상수도(토목)투찰_봉무지방산업단지도로(투찰)②+0.250%_마현생창(동양고속)" xfId="704" xr:uid="{00000000-0005-0000-0000-0000BF020000}"/>
    <cellStyle name="_신태백(가실행)_창원상수도(토목)투찰_봉무지방산업단지도로(투찰)②+0.250%_마현생창(동양고속)_왜관-태평건설" xfId="705" xr:uid="{00000000-0005-0000-0000-0000C0020000}"/>
    <cellStyle name="_신태백(가실행)_창원상수도(토목)투찰_봉무지방산업단지도로(투찰)②+0.250%_왜관-태평건설" xfId="706" xr:uid="{00000000-0005-0000-0000-0000C1020000}"/>
    <cellStyle name="_신태백(가실행)_창원상수도(토목)투찰_왜관-태평건설" xfId="707" xr:uid="{00000000-0005-0000-0000-0000C2020000}"/>
    <cellStyle name="_신태백(가실행)_창원상수도(토목)투찰_합덕-신례원(2공구)투찰" xfId="708" xr:uid="{00000000-0005-0000-0000-0000C3020000}"/>
    <cellStyle name="_신태백(가실행)_창원상수도(토목)투찰_합덕-신례원(2공구)투찰_경찰서-터미널간도로(투찰)②" xfId="709" xr:uid="{00000000-0005-0000-0000-0000C4020000}"/>
    <cellStyle name="_신태백(가실행)_창원상수도(토목)투찰_합덕-신례원(2공구)투찰_경찰서-터미널간도로(투찰)②_마현생창(동양고속)" xfId="710" xr:uid="{00000000-0005-0000-0000-0000C5020000}"/>
    <cellStyle name="_신태백(가실행)_창원상수도(토목)투찰_합덕-신례원(2공구)투찰_경찰서-터미널간도로(투찰)②_마현생창(동양고속)_왜관-태평건설" xfId="711" xr:uid="{00000000-0005-0000-0000-0000C6020000}"/>
    <cellStyle name="_신태백(가실행)_창원상수도(토목)투찰_합덕-신례원(2공구)투찰_경찰서-터미널간도로(투찰)②_왜관-태평건설" xfId="712" xr:uid="{00000000-0005-0000-0000-0000C7020000}"/>
    <cellStyle name="_신태백(가실행)_창원상수도(토목)투찰_합덕-신례원(2공구)투찰_마현생창(동양고속)" xfId="713" xr:uid="{00000000-0005-0000-0000-0000C8020000}"/>
    <cellStyle name="_신태백(가실행)_창원상수도(토목)투찰_합덕-신례원(2공구)투찰_마현생창(동양고속)_왜관-태평건설" xfId="714" xr:uid="{00000000-0005-0000-0000-0000C9020000}"/>
    <cellStyle name="_신태백(가실행)_창원상수도(토목)투찰_합덕-신례원(2공구)투찰_봉무지방산업단지도로(투찰)②" xfId="715" xr:uid="{00000000-0005-0000-0000-0000CA020000}"/>
    <cellStyle name="_신태백(가실행)_창원상수도(토목)투찰_합덕-신례원(2공구)투찰_봉무지방산업단지도로(투찰)②_마현생창(동양고속)" xfId="716" xr:uid="{00000000-0005-0000-0000-0000CB020000}"/>
    <cellStyle name="_신태백(가실행)_창원상수도(토목)투찰_합덕-신례원(2공구)투찰_봉무지방산업단지도로(투찰)②_마현생창(동양고속)_왜관-태평건설" xfId="717" xr:uid="{00000000-0005-0000-0000-0000CC020000}"/>
    <cellStyle name="_신태백(가실행)_창원상수도(토목)투찰_합덕-신례원(2공구)투찰_봉무지방산업단지도로(투찰)②_왜관-태평건설" xfId="718" xr:uid="{00000000-0005-0000-0000-0000CD020000}"/>
    <cellStyle name="_신태백(가실행)_창원상수도(토목)투찰_합덕-신례원(2공구)투찰_봉무지방산업단지도로(투찰)②+0.250%" xfId="719" xr:uid="{00000000-0005-0000-0000-0000CE020000}"/>
    <cellStyle name="_신태백(가실행)_창원상수도(토목)투찰_합덕-신례원(2공구)투찰_봉무지방산업단지도로(투찰)②+0.250%_마현생창(동양고속)" xfId="720" xr:uid="{00000000-0005-0000-0000-0000CF020000}"/>
    <cellStyle name="_신태백(가실행)_창원상수도(토목)투찰_합덕-신례원(2공구)투찰_봉무지방산업단지도로(투찰)②+0.250%_마현생창(동양고속)_왜관-태평건설" xfId="721" xr:uid="{00000000-0005-0000-0000-0000D0020000}"/>
    <cellStyle name="_신태백(가실행)_창원상수도(토목)투찰_합덕-신례원(2공구)투찰_봉무지방산업단지도로(투찰)②+0.250%_왜관-태평건설" xfId="722" xr:uid="{00000000-0005-0000-0000-0000D1020000}"/>
    <cellStyle name="_신태백(가실행)_창원상수도(토목)투찰_합덕-신례원(2공구)투찰_왜관-태평건설" xfId="723" xr:uid="{00000000-0005-0000-0000-0000D2020000}"/>
    <cellStyle name="_신태백(가실행)_창원상수도(토목)투찰_합덕-신례원(2공구)투찰_합덕-신례원(2공구)투찰" xfId="724" xr:uid="{00000000-0005-0000-0000-0000D3020000}"/>
    <cellStyle name="_신태백(가실행)_창원상수도(토목)투찰_합덕-신례원(2공구)투찰_합덕-신례원(2공구)투찰_경찰서-터미널간도로(투찰)②" xfId="725" xr:uid="{00000000-0005-0000-0000-0000D4020000}"/>
    <cellStyle name="_신태백(가실행)_창원상수도(토목)투찰_합덕-신례원(2공구)투찰_합덕-신례원(2공구)투찰_경찰서-터미널간도로(투찰)②_마현생창(동양고속)" xfId="726" xr:uid="{00000000-0005-0000-0000-0000D5020000}"/>
    <cellStyle name="_신태백(가실행)_창원상수도(토목)투찰_합덕-신례원(2공구)투찰_합덕-신례원(2공구)투찰_경찰서-터미널간도로(투찰)②_마현생창(동양고속)_왜관-태평건설" xfId="727" xr:uid="{00000000-0005-0000-0000-0000D6020000}"/>
    <cellStyle name="_신태백(가실행)_창원상수도(토목)투찰_합덕-신례원(2공구)투찰_합덕-신례원(2공구)투찰_경찰서-터미널간도로(투찰)②_왜관-태평건설" xfId="728" xr:uid="{00000000-0005-0000-0000-0000D7020000}"/>
    <cellStyle name="_신태백(가실행)_창원상수도(토목)투찰_합덕-신례원(2공구)투찰_합덕-신례원(2공구)투찰_마현생창(동양고속)" xfId="729" xr:uid="{00000000-0005-0000-0000-0000D8020000}"/>
    <cellStyle name="_신태백(가실행)_창원상수도(토목)투찰_합덕-신례원(2공구)투찰_합덕-신례원(2공구)투찰_마현생창(동양고속)_왜관-태평건설" xfId="730" xr:uid="{00000000-0005-0000-0000-0000D9020000}"/>
    <cellStyle name="_신태백(가실행)_창원상수도(토목)투찰_합덕-신례원(2공구)투찰_합덕-신례원(2공구)투찰_봉무지방산업단지도로(투찰)②" xfId="731" xr:uid="{00000000-0005-0000-0000-0000DA020000}"/>
    <cellStyle name="_신태백(가실행)_창원상수도(토목)투찰_합덕-신례원(2공구)투찰_합덕-신례원(2공구)투찰_봉무지방산업단지도로(투찰)②_마현생창(동양고속)" xfId="732" xr:uid="{00000000-0005-0000-0000-0000DB020000}"/>
    <cellStyle name="_신태백(가실행)_창원상수도(토목)투찰_합덕-신례원(2공구)투찰_합덕-신례원(2공구)투찰_봉무지방산업단지도로(투찰)②_마현생창(동양고속)_왜관-태평건설" xfId="733" xr:uid="{00000000-0005-0000-0000-0000DC020000}"/>
    <cellStyle name="_신태백(가실행)_창원상수도(토목)투찰_합덕-신례원(2공구)투찰_합덕-신례원(2공구)투찰_봉무지방산업단지도로(투찰)②_왜관-태평건설" xfId="734" xr:uid="{00000000-0005-0000-0000-0000DD020000}"/>
    <cellStyle name="_신태백(가실행)_창원상수도(토목)투찰_합덕-신례원(2공구)투찰_합덕-신례원(2공구)투찰_봉무지방산업단지도로(투찰)②+0.250%" xfId="735" xr:uid="{00000000-0005-0000-0000-0000DE020000}"/>
    <cellStyle name="_신태백(가실행)_창원상수도(토목)투찰_합덕-신례원(2공구)투찰_합덕-신례원(2공구)투찰_봉무지방산업단지도로(투찰)②+0.250%_마현생창(동양고속)" xfId="736" xr:uid="{00000000-0005-0000-0000-0000DF020000}"/>
    <cellStyle name="_신태백(가실행)_창원상수도(토목)투찰_합덕-신례원(2공구)투찰_합덕-신례원(2공구)투찰_봉무지방산업단지도로(투찰)②+0.250%_마현생창(동양고속)_왜관-태평건설" xfId="737" xr:uid="{00000000-0005-0000-0000-0000E0020000}"/>
    <cellStyle name="_신태백(가실행)_창원상수도(토목)투찰_합덕-신례원(2공구)투찰_합덕-신례원(2공구)투찰_봉무지방산업단지도로(투찰)②+0.250%_왜관-태평건설" xfId="738" xr:uid="{00000000-0005-0000-0000-0000E1020000}"/>
    <cellStyle name="_신태백(가실행)_창원상수도(토목)투찰_합덕-신례원(2공구)투찰_합덕-신례원(2공구)투찰_왜관-태평건설" xfId="739" xr:uid="{00000000-0005-0000-0000-0000E2020000}"/>
    <cellStyle name="_신태백(가실행)_합덕-신례원(2공구)투찰" xfId="740" xr:uid="{00000000-0005-0000-0000-0000E3020000}"/>
    <cellStyle name="_신태백(가실행)_합덕-신례원(2공구)투찰_경찰서-터미널간도로(투찰)②" xfId="741" xr:uid="{00000000-0005-0000-0000-0000E4020000}"/>
    <cellStyle name="_신태백(가실행)_합덕-신례원(2공구)투찰_경찰서-터미널간도로(투찰)②_마현생창(동양고속)" xfId="742" xr:uid="{00000000-0005-0000-0000-0000E5020000}"/>
    <cellStyle name="_신태백(가실행)_합덕-신례원(2공구)투찰_경찰서-터미널간도로(투찰)②_마현생창(동양고속)_왜관-태평건설" xfId="743" xr:uid="{00000000-0005-0000-0000-0000E6020000}"/>
    <cellStyle name="_신태백(가실행)_합덕-신례원(2공구)투찰_경찰서-터미널간도로(투찰)②_왜관-태평건설" xfId="744" xr:uid="{00000000-0005-0000-0000-0000E7020000}"/>
    <cellStyle name="_신태백(가실행)_합덕-신례원(2공구)투찰_마현생창(동양고속)" xfId="745" xr:uid="{00000000-0005-0000-0000-0000E8020000}"/>
    <cellStyle name="_신태백(가실행)_합덕-신례원(2공구)투찰_마현생창(동양고속)_왜관-태평건설" xfId="746" xr:uid="{00000000-0005-0000-0000-0000E9020000}"/>
    <cellStyle name="_신태백(가실행)_합덕-신례원(2공구)투찰_봉무지방산업단지도로(투찰)②" xfId="747" xr:uid="{00000000-0005-0000-0000-0000EA020000}"/>
    <cellStyle name="_신태백(가실행)_합덕-신례원(2공구)투찰_봉무지방산업단지도로(투찰)②_마현생창(동양고속)" xfId="748" xr:uid="{00000000-0005-0000-0000-0000EB020000}"/>
    <cellStyle name="_신태백(가실행)_합덕-신례원(2공구)투찰_봉무지방산업단지도로(투찰)②_마현생창(동양고속)_왜관-태평건설" xfId="749" xr:uid="{00000000-0005-0000-0000-0000EC020000}"/>
    <cellStyle name="_신태백(가실행)_합덕-신례원(2공구)투찰_봉무지방산업단지도로(투찰)②_왜관-태평건설" xfId="750" xr:uid="{00000000-0005-0000-0000-0000ED020000}"/>
    <cellStyle name="_신태백(가실행)_합덕-신례원(2공구)투찰_봉무지방산업단지도로(투찰)②+0.250%" xfId="751" xr:uid="{00000000-0005-0000-0000-0000EE020000}"/>
    <cellStyle name="_신태백(가실행)_합덕-신례원(2공구)투찰_봉무지방산업단지도로(투찰)②+0.250%_마현생창(동양고속)" xfId="752" xr:uid="{00000000-0005-0000-0000-0000EF020000}"/>
    <cellStyle name="_신태백(가실행)_합덕-신례원(2공구)투찰_봉무지방산업단지도로(투찰)②+0.250%_마현생창(동양고속)_왜관-태평건설" xfId="753" xr:uid="{00000000-0005-0000-0000-0000F0020000}"/>
    <cellStyle name="_신태백(가실행)_합덕-신례원(2공구)투찰_봉무지방산업단지도로(투찰)②+0.250%_왜관-태평건설" xfId="754" xr:uid="{00000000-0005-0000-0000-0000F1020000}"/>
    <cellStyle name="_신태백(가실행)_합덕-신례원(2공구)투찰_왜관-태평건설" xfId="755" xr:uid="{00000000-0005-0000-0000-0000F2020000}"/>
    <cellStyle name="_신태백(가실행)_합덕-신례원(2공구)투찰_합덕-신례원(2공구)투찰" xfId="756" xr:uid="{00000000-0005-0000-0000-0000F3020000}"/>
    <cellStyle name="_신태백(가실행)_합덕-신례원(2공구)투찰_합덕-신례원(2공구)투찰_경찰서-터미널간도로(투찰)②" xfId="757" xr:uid="{00000000-0005-0000-0000-0000F4020000}"/>
    <cellStyle name="_신태백(가실행)_합덕-신례원(2공구)투찰_합덕-신례원(2공구)투찰_경찰서-터미널간도로(투찰)②_마현생창(동양고속)" xfId="758" xr:uid="{00000000-0005-0000-0000-0000F5020000}"/>
    <cellStyle name="_신태백(가실행)_합덕-신례원(2공구)투찰_합덕-신례원(2공구)투찰_경찰서-터미널간도로(투찰)②_마현생창(동양고속)_왜관-태평건설" xfId="759" xr:uid="{00000000-0005-0000-0000-0000F6020000}"/>
    <cellStyle name="_신태백(가실행)_합덕-신례원(2공구)투찰_합덕-신례원(2공구)투찰_경찰서-터미널간도로(투찰)②_왜관-태평건설" xfId="760" xr:uid="{00000000-0005-0000-0000-0000F7020000}"/>
    <cellStyle name="_신태백(가실행)_합덕-신례원(2공구)투찰_합덕-신례원(2공구)투찰_마현생창(동양고속)" xfId="761" xr:uid="{00000000-0005-0000-0000-0000F8020000}"/>
    <cellStyle name="_신태백(가실행)_합덕-신례원(2공구)투찰_합덕-신례원(2공구)투찰_마현생창(동양고속)_왜관-태평건설" xfId="762" xr:uid="{00000000-0005-0000-0000-0000F9020000}"/>
    <cellStyle name="_신태백(가실행)_합덕-신례원(2공구)투찰_합덕-신례원(2공구)투찰_봉무지방산업단지도로(투찰)②" xfId="763" xr:uid="{00000000-0005-0000-0000-0000FA020000}"/>
    <cellStyle name="_신태백(가실행)_합덕-신례원(2공구)투찰_합덕-신례원(2공구)투찰_봉무지방산업단지도로(투찰)②_마현생창(동양고속)" xfId="764" xr:uid="{00000000-0005-0000-0000-0000FB020000}"/>
    <cellStyle name="_신태백(가실행)_합덕-신례원(2공구)투찰_합덕-신례원(2공구)투찰_봉무지방산업단지도로(투찰)②_마현생창(동양고속)_왜관-태평건설" xfId="765" xr:uid="{00000000-0005-0000-0000-0000FC020000}"/>
    <cellStyle name="_신태백(가실행)_합덕-신례원(2공구)투찰_합덕-신례원(2공구)투찰_봉무지방산업단지도로(투찰)②_왜관-태평건설" xfId="766" xr:uid="{00000000-0005-0000-0000-0000FD020000}"/>
    <cellStyle name="_신태백(가실행)_합덕-신례원(2공구)투찰_합덕-신례원(2공구)투찰_봉무지방산업단지도로(투찰)②+0.250%" xfId="767" xr:uid="{00000000-0005-0000-0000-0000FE020000}"/>
    <cellStyle name="_신태백(가실행)_합덕-신례원(2공구)투찰_합덕-신례원(2공구)투찰_봉무지방산업단지도로(투찰)②+0.250%_마현생창(동양고속)" xfId="768" xr:uid="{00000000-0005-0000-0000-0000FF020000}"/>
    <cellStyle name="_신태백(가실행)_합덕-신례원(2공구)투찰_합덕-신례원(2공구)투찰_봉무지방산업단지도로(투찰)②+0.250%_마현생창(동양고속)_왜관-태평건설" xfId="769" xr:uid="{00000000-0005-0000-0000-000000030000}"/>
    <cellStyle name="_신태백(가실행)_합덕-신례원(2공구)투찰_합덕-신례원(2공구)투찰_봉무지방산업단지도로(투찰)②+0.250%_왜관-태평건설" xfId="770" xr:uid="{00000000-0005-0000-0000-000001030000}"/>
    <cellStyle name="_신태백(가실행)_합덕-신례원(2공구)투찰_합덕-신례원(2공구)투찰_왜관-태평건설" xfId="771" xr:uid="{00000000-0005-0000-0000-000002030000}"/>
    <cellStyle name="_신태백(투찰내역)2" xfId="772" xr:uid="{00000000-0005-0000-0000-000003030000}"/>
    <cellStyle name="_실행예산" xfId="773" xr:uid="{00000000-0005-0000-0000-000004030000}"/>
    <cellStyle name="_안산부대(투찰)⑤" xfId="774" xr:uid="{00000000-0005-0000-0000-000005030000}"/>
    <cellStyle name="_안산부대(투찰)⑤_경찰서-터미널간도로(투찰)②" xfId="775" xr:uid="{00000000-0005-0000-0000-000006030000}"/>
    <cellStyle name="_안산부대(투찰)⑤_경찰서-터미널간도로(투찰)②_마현생창(동양고속)" xfId="776" xr:uid="{00000000-0005-0000-0000-000007030000}"/>
    <cellStyle name="_안산부대(투찰)⑤_경찰서-터미널간도로(투찰)②_마현생창(동양고속)_왜관-태평건설" xfId="777" xr:uid="{00000000-0005-0000-0000-000008030000}"/>
    <cellStyle name="_안산부대(투찰)⑤_경찰서-터미널간도로(투찰)②_왜관-태평건설" xfId="778" xr:uid="{00000000-0005-0000-0000-000009030000}"/>
    <cellStyle name="_안산부대(투찰)⑤_마현생창(동양고속)" xfId="779" xr:uid="{00000000-0005-0000-0000-00000A030000}"/>
    <cellStyle name="_안산부대(투찰)⑤_마현생창(동양고속)_왜관-태평건설" xfId="780" xr:uid="{00000000-0005-0000-0000-00000B030000}"/>
    <cellStyle name="_안산부대(투찰)⑤_봉무지방산업단지도로(투찰)②" xfId="781" xr:uid="{00000000-0005-0000-0000-00000C030000}"/>
    <cellStyle name="_안산부대(투찰)⑤_봉무지방산업단지도로(투찰)②_마현생창(동양고속)" xfId="782" xr:uid="{00000000-0005-0000-0000-00000D030000}"/>
    <cellStyle name="_안산부대(투찰)⑤_봉무지방산업단지도로(투찰)②_마현생창(동양고속)_왜관-태평건설" xfId="783" xr:uid="{00000000-0005-0000-0000-00000E030000}"/>
    <cellStyle name="_안산부대(투찰)⑤_봉무지방산업단지도로(투찰)②_왜관-태평건설" xfId="784" xr:uid="{00000000-0005-0000-0000-00000F030000}"/>
    <cellStyle name="_안산부대(투찰)⑤_봉무지방산업단지도로(투찰)②+0.250%" xfId="785" xr:uid="{00000000-0005-0000-0000-000010030000}"/>
    <cellStyle name="_안산부대(투찰)⑤_봉무지방산업단지도로(투찰)②+0.250%_마현생창(동양고속)" xfId="786" xr:uid="{00000000-0005-0000-0000-000011030000}"/>
    <cellStyle name="_안산부대(투찰)⑤_봉무지방산업단지도로(투찰)②+0.250%_마현생창(동양고속)_왜관-태평건설" xfId="787" xr:uid="{00000000-0005-0000-0000-000012030000}"/>
    <cellStyle name="_안산부대(투찰)⑤_봉무지방산업단지도로(투찰)②+0.250%_왜관-태평건설" xfId="788" xr:uid="{00000000-0005-0000-0000-000013030000}"/>
    <cellStyle name="_안산부대(투찰)⑤_왜관-태평건설" xfId="789" xr:uid="{00000000-0005-0000-0000-000014030000}"/>
    <cellStyle name="_안산부대(투찰)⑤_합덕-신례원(2공구)투찰" xfId="790" xr:uid="{00000000-0005-0000-0000-000015030000}"/>
    <cellStyle name="_안산부대(투찰)⑤_합덕-신례원(2공구)투찰_경찰서-터미널간도로(투찰)②" xfId="791" xr:uid="{00000000-0005-0000-0000-000016030000}"/>
    <cellStyle name="_안산부대(투찰)⑤_합덕-신례원(2공구)투찰_경찰서-터미널간도로(투찰)②_마현생창(동양고속)" xfId="792" xr:uid="{00000000-0005-0000-0000-000017030000}"/>
    <cellStyle name="_안산부대(투찰)⑤_합덕-신례원(2공구)투찰_경찰서-터미널간도로(투찰)②_마현생창(동양고속)_왜관-태평건설" xfId="793" xr:uid="{00000000-0005-0000-0000-000018030000}"/>
    <cellStyle name="_안산부대(투찰)⑤_합덕-신례원(2공구)투찰_경찰서-터미널간도로(투찰)②_왜관-태평건설" xfId="794" xr:uid="{00000000-0005-0000-0000-000019030000}"/>
    <cellStyle name="_안산부대(투찰)⑤_합덕-신례원(2공구)투찰_마현생창(동양고속)" xfId="795" xr:uid="{00000000-0005-0000-0000-00001A030000}"/>
    <cellStyle name="_안산부대(투찰)⑤_합덕-신례원(2공구)투찰_마현생창(동양고속)_왜관-태평건설" xfId="796" xr:uid="{00000000-0005-0000-0000-00001B030000}"/>
    <cellStyle name="_안산부대(투찰)⑤_합덕-신례원(2공구)투찰_봉무지방산업단지도로(투찰)②" xfId="797" xr:uid="{00000000-0005-0000-0000-00001C030000}"/>
    <cellStyle name="_안산부대(투찰)⑤_합덕-신례원(2공구)투찰_봉무지방산업단지도로(투찰)②_마현생창(동양고속)" xfId="798" xr:uid="{00000000-0005-0000-0000-00001D030000}"/>
    <cellStyle name="_안산부대(투찰)⑤_합덕-신례원(2공구)투찰_봉무지방산업단지도로(투찰)②_마현생창(동양고속)_왜관-태평건설" xfId="799" xr:uid="{00000000-0005-0000-0000-00001E030000}"/>
    <cellStyle name="_안산부대(투찰)⑤_합덕-신례원(2공구)투찰_봉무지방산업단지도로(투찰)②_왜관-태평건설" xfId="800" xr:uid="{00000000-0005-0000-0000-00001F030000}"/>
    <cellStyle name="_안산부대(투찰)⑤_합덕-신례원(2공구)투찰_봉무지방산업단지도로(투찰)②+0.250%" xfId="801" xr:uid="{00000000-0005-0000-0000-000020030000}"/>
    <cellStyle name="_안산부대(투찰)⑤_합덕-신례원(2공구)투찰_봉무지방산업단지도로(투찰)②+0.250%_마현생창(동양고속)" xfId="802" xr:uid="{00000000-0005-0000-0000-000021030000}"/>
    <cellStyle name="_안산부대(투찰)⑤_합덕-신례원(2공구)투찰_봉무지방산업단지도로(투찰)②+0.250%_마현생창(동양고속)_왜관-태평건설" xfId="803" xr:uid="{00000000-0005-0000-0000-000022030000}"/>
    <cellStyle name="_안산부대(투찰)⑤_합덕-신례원(2공구)투찰_봉무지방산업단지도로(투찰)②+0.250%_왜관-태평건설" xfId="804" xr:uid="{00000000-0005-0000-0000-000023030000}"/>
    <cellStyle name="_안산부대(투찰)⑤_합덕-신례원(2공구)투찰_왜관-태평건설" xfId="805" xr:uid="{00000000-0005-0000-0000-000024030000}"/>
    <cellStyle name="_안산부대(투찰)⑤_합덕-신례원(2공구)투찰_합덕-신례원(2공구)투찰" xfId="806" xr:uid="{00000000-0005-0000-0000-000025030000}"/>
    <cellStyle name="_안산부대(투찰)⑤_합덕-신례원(2공구)투찰_합덕-신례원(2공구)투찰_경찰서-터미널간도로(투찰)②" xfId="807" xr:uid="{00000000-0005-0000-0000-000026030000}"/>
    <cellStyle name="_안산부대(투찰)⑤_합덕-신례원(2공구)투찰_합덕-신례원(2공구)투찰_경찰서-터미널간도로(투찰)②_마현생창(동양고속)" xfId="808" xr:uid="{00000000-0005-0000-0000-000027030000}"/>
    <cellStyle name="_안산부대(투찰)⑤_합덕-신례원(2공구)투찰_합덕-신례원(2공구)투찰_경찰서-터미널간도로(투찰)②_마현생창(동양고속)_왜관-태평건설" xfId="809" xr:uid="{00000000-0005-0000-0000-000028030000}"/>
    <cellStyle name="_안산부대(투찰)⑤_합덕-신례원(2공구)투찰_합덕-신례원(2공구)투찰_경찰서-터미널간도로(투찰)②_왜관-태평건설" xfId="810" xr:uid="{00000000-0005-0000-0000-000029030000}"/>
    <cellStyle name="_안산부대(투찰)⑤_합덕-신례원(2공구)투찰_합덕-신례원(2공구)투찰_마현생창(동양고속)" xfId="811" xr:uid="{00000000-0005-0000-0000-00002A030000}"/>
    <cellStyle name="_안산부대(투찰)⑤_합덕-신례원(2공구)투찰_합덕-신례원(2공구)투찰_마현생창(동양고속)_왜관-태평건설" xfId="812" xr:uid="{00000000-0005-0000-0000-00002B030000}"/>
    <cellStyle name="_안산부대(투찰)⑤_합덕-신례원(2공구)투찰_합덕-신례원(2공구)투찰_봉무지방산업단지도로(투찰)②" xfId="813" xr:uid="{00000000-0005-0000-0000-00002C030000}"/>
    <cellStyle name="_안산부대(투찰)⑤_합덕-신례원(2공구)투찰_합덕-신례원(2공구)투찰_봉무지방산업단지도로(투찰)②_마현생창(동양고속)" xfId="814" xr:uid="{00000000-0005-0000-0000-00002D030000}"/>
    <cellStyle name="_안산부대(투찰)⑤_합덕-신례원(2공구)투찰_합덕-신례원(2공구)투찰_봉무지방산업단지도로(투찰)②_마현생창(동양고속)_왜관-태평건설" xfId="815" xr:uid="{00000000-0005-0000-0000-00002E030000}"/>
    <cellStyle name="_안산부대(투찰)⑤_합덕-신례원(2공구)투찰_합덕-신례원(2공구)투찰_봉무지방산업단지도로(투찰)②_왜관-태평건설" xfId="816" xr:uid="{00000000-0005-0000-0000-00002F030000}"/>
    <cellStyle name="_안산부대(투찰)⑤_합덕-신례원(2공구)투찰_합덕-신례원(2공구)투찰_봉무지방산업단지도로(투찰)②+0.250%" xfId="817" xr:uid="{00000000-0005-0000-0000-000030030000}"/>
    <cellStyle name="_안산부대(투찰)⑤_합덕-신례원(2공구)투찰_합덕-신례원(2공구)투찰_봉무지방산업단지도로(투찰)②+0.250%_마현생창(동양고속)" xfId="818" xr:uid="{00000000-0005-0000-0000-000031030000}"/>
    <cellStyle name="_안산부대(투찰)⑤_합덕-신례원(2공구)투찰_합덕-신례원(2공구)투찰_봉무지방산업단지도로(투찰)②+0.250%_마현생창(동양고속)_왜관-태평건설" xfId="819" xr:uid="{00000000-0005-0000-0000-000032030000}"/>
    <cellStyle name="_안산부대(투찰)⑤_합덕-신례원(2공구)투찰_합덕-신례원(2공구)투찰_봉무지방산업단지도로(투찰)②+0.250%_왜관-태평건설" xfId="820" xr:uid="{00000000-0005-0000-0000-000033030000}"/>
    <cellStyle name="_안산부대(투찰)⑤_합덕-신례원(2공구)투찰_합덕-신례원(2공구)투찰_왜관-태평건설" xfId="821" xr:uid="{00000000-0005-0000-0000-000034030000}"/>
    <cellStyle name="_양곡부두(투찰)+0.30%" xfId="822" xr:uid="{00000000-0005-0000-0000-000035030000}"/>
    <cellStyle name="_양양상수도공내역서" xfId="823" xr:uid="{00000000-0005-0000-0000-000036030000}"/>
    <cellStyle name="_우" xfId="824" xr:uid="{00000000-0005-0000-0000-000037030000}"/>
    <cellStyle name="_우_광주평동투찰" xfId="825" xr:uid="{00000000-0005-0000-0000-000038030000}"/>
    <cellStyle name="_우_광주평동품의1" xfId="826" xr:uid="{00000000-0005-0000-0000-000039030000}"/>
    <cellStyle name="_우_송학하수품의(설계넣고)" xfId="827" xr:uid="{00000000-0005-0000-0000-00003A030000}"/>
    <cellStyle name="_우_우주센터투찰" xfId="828" xr:uid="{00000000-0005-0000-0000-00003B030000}"/>
    <cellStyle name="_우_우주센터투찰_광주평동투찰" xfId="829" xr:uid="{00000000-0005-0000-0000-00003C030000}"/>
    <cellStyle name="_우_우주센터투찰_광주평동품의1" xfId="830" xr:uid="{00000000-0005-0000-0000-00003D030000}"/>
    <cellStyle name="_우_우주센터투찰_송학하수품의(설계넣고)" xfId="831" xr:uid="{00000000-0005-0000-0000-00003E030000}"/>
    <cellStyle name="_우주센" xfId="832" xr:uid="{00000000-0005-0000-0000-00003F030000}"/>
    <cellStyle name="_우주센_광주평동투찰" xfId="833" xr:uid="{00000000-0005-0000-0000-000040030000}"/>
    <cellStyle name="_우주센_광주평동품의1" xfId="834" xr:uid="{00000000-0005-0000-0000-000041030000}"/>
    <cellStyle name="_우주센_송학하수품의(설계넣고)" xfId="835" xr:uid="{00000000-0005-0000-0000-000042030000}"/>
    <cellStyle name="_우주센_우주센터투찰" xfId="836" xr:uid="{00000000-0005-0000-0000-000043030000}"/>
    <cellStyle name="_우주센_우주센터투찰_광주평동투찰" xfId="837" xr:uid="{00000000-0005-0000-0000-000044030000}"/>
    <cellStyle name="_우주센_우주센터투찰_광주평동품의1" xfId="838" xr:uid="{00000000-0005-0000-0000-000045030000}"/>
    <cellStyle name="_우주센_우주센터투찰_송학하수품의(설계넣고)" xfId="839" xr:uid="{00000000-0005-0000-0000-000046030000}"/>
    <cellStyle name="_유치투찰" xfId="840" xr:uid="{00000000-0005-0000-0000-000047030000}"/>
    <cellStyle name="_유치투찰_왜관-태평건설" xfId="841" xr:uid="{00000000-0005-0000-0000-000048030000}"/>
    <cellStyle name="_이양능주(2공구)bid전기" xfId="842" xr:uid="{00000000-0005-0000-0000-000049030000}"/>
    <cellStyle name="_인원계획표 " xfId="843" xr:uid="{00000000-0005-0000-0000-00004A030000}"/>
    <cellStyle name="_인원계획표 _광주평동투찰" xfId="844" xr:uid="{00000000-0005-0000-0000-00004B030000}"/>
    <cellStyle name="_인원계획표 _광주평동품의1" xfId="845" xr:uid="{00000000-0005-0000-0000-00004C030000}"/>
    <cellStyle name="_인원계획표 _송학하수품의(설계넣고)" xfId="846" xr:uid="{00000000-0005-0000-0000-00004D030000}"/>
    <cellStyle name="_인원계획표 _적격 " xfId="847" xr:uid="{00000000-0005-0000-0000-00004E030000}"/>
    <cellStyle name="_인원계획표 _적격 _광주평동투찰" xfId="848" xr:uid="{00000000-0005-0000-0000-00004F030000}"/>
    <cellStyle name="_인원계획표 _적격 _광주평동품의1" xfId="849" xr:uid="{00000000-0005-0000-0000-000050030000}"/>
    <cellStyle name="_인원계획표 _적격 _송학하수품의(설계넣고)" xfId="850" xr:uid="{00000000-0005-0000-0000-000051030000}"/>
    <cellStyle name="_입찰표지 " xfId="851" xr:uid="{00000000-0005-0000-0000-000052030000}"/>
    <cellStyle name="_입찰표지 _광주평동투찰" xfId="852" xr:uid="{00000000-0005-0000-0000-000053030000}"/>
    <cellStyle name="_입찰표지 _광주평동품의1" xfId="853" xr:uid="{00000000-0005-0000-0000-000054030000}"/>
    <cellStyle name="_입찰표지 _송학하수품의(설계넣고)" xfId="854" xr:uid="{00000000-0005-0000-0000-000055030000}"/>
    <cellStyle name="_장성IC투찰" xfId="855" xr:uid="{00000000-0005-0000-0000-000056030000}"/>
    <cellStyle name="_장성IC투찰_경찰서-터미널간도로(투찰)②" xfId="856" xr:uid="{00000000-0005-0000-0000-000057030000}"/>
    <cellStyle name="_장성IC투찰_경찰서-터미널간도로(투찰)②_마현생창(동양고속)" xfId="857" xr:uid="{00000000-0005-0000-0000-000058030000}"/>
    <cellStyle name="_장성IC투찰_경찰서-터미널간도로(투찰)②_마현생창(동양고속)_왜관-태평건설" xfId="858" xr:uid="{00000000-0005-0000-0000-000059030000}"/>
    <cellStyle name="_장성IC투찰_경찰서-터미널간도로(투찰)②_왜관-태평건설" xfId="859" xr:uid="{00000000-0005-0000-0000-00005A030000}"/>
    <cellStyle name="_장성IC투찰_마현생창(동양고속)" xfId="860" xr:uid="{00000000-0005-0000-0000-00005B030000}"/>
    <cellStyle name="_장성IC투찰_마현생창(동양고속)_왜관-태평건설" xfId="861" xr:uid="{00000000-0005-0000-0000-00005C030000}"/>
    <cellStyle name="_장성IC투찰_봉무지방산업단지도로(투찰)②" xfId="862" xr:uid="{00000000-0005-0000-0000-00005D030000}"/>
    <cellStyle name="_장성IC투찰_봉무지방산업단지도로(투찰)②_마현생창(동양고속)" xfId="863" xr:uid="{00000000-0005-0000-0000-00005E030000}"/>
    <cellStyle name="_장성IC투찰_봉무지방산업단지도로(투찰)②_마현생창(동양고속)_왜관-태평건설" xfId="864" xr:uid="{00000000-0005-0000-0000-00005F030000}"/>
    <cellStyle name="_장성IC투찰_봉무지방산업단지도로(투찰)②_왜관-태평건설" xfId="865" xr:uid="{00000000-0005-0000-0000-000060030000}"/>
    <cellStyle name="_장성IC투찰_봉무지방산업단지도로(투찰)②+0.250%" xfId="866" xr:uid="{00000000-0005-0000-0000-000061030000}"/>
    <cellStyle name="_장성IC투찰_봉무지방산업단지도로(투찰)②+0.250%_마현생창(동양고속)" xfId="867" xr:uid="{00000000-0005-0000-0000-000062030000}"/>
    <cellStyle name="_장성IC투찰_봉무지방산업단지도로(투찰)②+0.250%_마현생창(동양고속)_왜관-태평건설" xfId="868" xr:uid="{00000000-0005-0000-0000-000063030000}"/>
    <cellStyle name="_장성IC투찰_봉무지방산업단지도로(투찰)②+0.250%_왜관-태평건설" xfId="869" xr:uid="{00000000-0005-0000-0000-000064030000}"/>
    <cellStyle name="_장성IC투찰_왜관-태평건설" xfId="870" xr:uid="{00000000-0005-0000-0000-000065030000}"/>
    <cellStyle name="_장성IC투찰_합덕-신례원(2공구)투찰" xfId="871" xr:uid="{00000000-0005-0000-0000-000066030000}"/>
    <cellStyle name="_장성IC투찰_합덕-신례원(2공구)투찰_경찰서-터미널간도로(투찰)②" xfId="872" xr:uid="{00000000-0005-0000-0000-000067030000}"/>
    <cellStyle name="_장성IC투찰_합덕-신례원(2공구)투찰_경찰서-터미널간도로(투찰)②_마현생창(동양고속)" xfId="873" xr:uid="{00000000-0005-0000-0000-000068030000}"/>
    <cellStyle name="_장성IC투찰_합덕-신례원(2공구)투찰_경찰서-터미널간도로(투찰)②_마현생창(동양고속)_왜관-태평건설" xfId="874" xr:uid="{00000000-0005-0000-0000-000069030000}"/>
    <cellStyle name="_장성IC투찰_합덕-신례원(2공구)투찰_경찰서-터미널간도로(투찰)②_왜관-태평건설" xfId="875" xr:uid="{00000000-0005-0000-0000-00006A030000}"/>
    <cellStyle name="_장성IC투찰_합덕-신례원(2공구)투찰_마현생창(동양고속)" xfId="876" xr:uid="{00000000-0005-0000-0000-00006B030000}"/>
    <cellStyle name="_장성IC투찰_합덕-신례원(2공구)투찰_마현생창(동양고속)_왜관-태평건설" xfId="877" xr:uid="{00000000-0005-0000-0000-00006C030000}"/>
    <cellStyle name="_장성IC투찰_합덕-신례원(2공구)투찰_봉무지방산업단지도로(투찰)②" xfId="878" xr:uid="{00000000-0005-0000-0000-00006D030000}"/>
    <cellStyle name="_장성IC투찰_합덕-신례원(2공구)투찰_봉무지방산업단지도로(투찰)②_마현생창(동양고속)" xfId="879" xr:uid="{00000000-0005-0000-0000-00006E030000}"/>
    <cellStyle name="_장성IC투찰_합덕-신례원(2공구)투찰_봉무지방산업단지도로(투찰)②_마현생창(동양고속)_왜관-태평건설" xfId="880" xr:uid="{00000000-0005-0000-0000-00006F030000}"/>
    <cellStyle name="_장성IC투찰_합덕-신례원(2공구)투찰_봉무지방산업단지도로(투찰)②_왜관-태평건설" xfId="881" xr:uid="{00000000-0005-0000-0000-000070030000}"/>
    <cellStyle name="_장성IC투찰_합덕-신례원(2공구)투찰_봉무지방산업단지도로(투찰)②+0.250%" xfId="882" xr:uid="{00000000-0005-0000-0000-000071030000}"/>
    <cellStyle name="_장성IC투찰_합덕-신례원(2공구)투찰_봉무지방산업단지도로(투찰)②+0.250%_마현생창(동양고속)" xfId="883" xr:uid="{00000000-0005-0000-0000-000072030000}"/>
    <cellStyle name="_장성IC투찰_합덕-신례원(2공구)투찰_봉무지방산업단지도로(투찰)②+0.250%_마현생창(동양고속)_왜관-태평건설" xfId="884" xr:uid="{00000000-0005-0000-0000-000073030000}"/>
    <cellStyle name="_장성IC투찰_합덕-신례원(2공구)투찰_봉무지방산업단지도로(투찰)②+0.250%_왜관-태평건설" xfId="885" xr:uid="{00000000-0005-0000-0000-000074030000}"/>
    <cellStyle name="_장성IC투찰_합덕-신례원(2공구)투찰_왜관-태평건설" xfId="886" xr:uid="{00000000-0005-0000-0000-000075030000}"/>
    <cellStyle name="_장성IC투찰_합덕-신례원(2공구)투찰_합덕-신례원(2공구)투찰" xfId="887" xr:uid="{00000000-0005-0000-0000-000076030000}"/>
    <cellStyle name="_장성IC투찰_합덕-신례원(2공구)투찰_합덕-신례원(2공구)투찰_경찰서-터미널간도로(투찰)②" xfId="888" xr:uid="{00000000-0005-0000-0000-000077030000}"/>
    <cellStyle name="_장성IC투찰_합덕-신례원(2공구)투찰_합덕-신례원(2공구)투찰_경찰서-터미널간도로(투찰)②_마현생창(동양고속)" xfId="889" xr:uid="{00000000-0005-0000-0000-000078030000}"/>
    <cellStyle name="_장성IC투찰_합덕-신례원(2공구)투찰_합덕-신례원(2공구)투찰_경찰서-터미널간도로(투찰)②_마현생창(동양고속)_왜관-태평건설" xfId="890" xr:uid="{00000000-0005-0000-0000-000079030000}"/>
    <cellStyle name="_장성IC투찰_합덕-신례원(2공구)투찰_합덕-신례원(2공구)투찰_경찰서-터미널간도로(투찰)②_왜관-태평건설" xfId="891" xr:uid="{00000000-0005-0000-0000-00007A030000}"/>
    <cellStyle name="_장성IC투찰_합덕-신례원(2공구)투찰_합덕-신례원(2공구)투찰_마현생창(동양고속)" xfId="892" xr:uid="{00000000-0005-0000-0000-00007B030000}"/>
    <cellStyle name="_장성IC투찰_합덕-신례원(2공구)투찰_합덕-신례원(2공구)투찰_마현생창(동양고속)_왜관-태평건설" xfId="893" xr:uid="{00000000-0005-0000-0000-00007C030000}"/>
    <cellStyle name="_장성IC투찰_합덕-신례원(2공구)투찰_합덕-신례원(2공구)투찰_봉무지방산업단지도로(투찰)②" xfId="894" xr:uid="{00000000-0005-0000-0000-00007D030000}"/>
    <cellStyle name="_장성IC투찰_합덕-신례원(2공구)투찰_합덕-신례원(2공구)투찰_봉무지방산업단지도로(투찰)②_마현생창(동양고속)" xfId="895" xr:uid="{00000000-0005-0000-0000-00007E030000}"/>
    <cellStyle name="_장성IC투찰_합덕-신례원(2공구)투찰_합덕-신례원(2공구)투찰_봉무지방산업단지도로(투찰)②_마현생창(동양고속)_왜관-태평건설" xfId="896" xr:uid="{00000000-0005-0000-0000-00007F030000}"/>
    <cellStyle name="_장성IC투찰_합덕-신례원(2공구)투찰_합덕-신례원(2공구)투찰_봉무지방산업단지도로(투찰)②_왜관-태평건설" xfId="897" xr:uid="{00000000-0005-0000-0000-000080030000}"/>
    <cellStyle name="_장성IC투찰_합덕-신례원(2공구)투찰_합덕-신례원(2공구)투찰_봉무지방산업단지도로(투찰)②+0.250%" xfId="898" xr:uid="{00000000-0005-0000-0000-000081030000}"/>
    <cellStyle name="_장성IC투찰_합덕-신례원(2공구)투찰_합덕-신례원(2공구)투찰_봉무지방산업단지도로(투찰)②+0.250%_마현생창(동양고속)" xfId="899" xr:uid="{00000000-0005-0000-0000-000082030000}"/>
    <cellStyle name="_장성IC투찰_합덕-신례원(2공구)투찰_합덕-신례원(2공구)투찰_봉무지방산업단지도로(투찰)②+0.250%_마현생창(동양고속)_왜관-태평건설" xfId="900" xr:uid="{00000000-0005-0000-0000-000083030000}"/>
    <cellStyle name="_장성IC투찰_합덕-신례원(2공구)투찰_합덕-신례원(2공구)투찰_봉무지방산업단지도로(투찰)②+0.250%_왜관-태평건설" xfId="901" xr:uid="{00000000-0005-0000-0000-000084030000}"/>
    <cellStyle name="_장성IC투찰_합덕-신례원(2공구)투찰_합덕-신례원(2공구)투찰_왜관-태평건설" xfId="902" xr:uid="{00000000-0005-0000-0000-000085030000}"/>
    <cellStyle name="_적격 " xfId="903" xr:uid="{00000000-0005-0000-0000-000086030000}"/>
    <cellStyle name="_적격 _광주평동투찰" xfId="904" xr:uid="{00000000-0005-0000-0000-000087030000}"/>
    <cellStyle name="_적격 _광주평동품의1" xfId="905" xr:uid="{00000000-0005-0000-0000-000088030000}"/>
    <cellStyle name="_적격 _송학하수품의(설계넣고)" xfId="906" xr:uid="{00000000-0005-0000-0000-000089030000}"/>
    <cellStyle name="_적격 _집행갑지 " xfId="907" xr:uid="{00000000-0005-0000-0000-00008A030000}"/>
    <cellStyle name="_적격 _집행갑지 _광주평동투찰" xfId="908" xr:uid="{00000000-0005-0000-0000-00008B030000}"/>
    <cellStyle name="_적격 _집행갑지 _광주평동품의1" xfId="909" xr:uid="{00000000-0005-0000-0000-00008C030000}"/>
    <cellStyle name="_적격 _집행갑지 _송학하수품의(설계넣고)" xfId="910" xr:uid="{00000000-0005-0000-0000-00008D030000}"/>
    <cellStyle name="_적격(화산) " xfId="911" xr:uid="{00000000-0005-0000-0000-00008E030000}"/>
    <cellStyle name="_적격(화산) _광주평동투찰" xfId="912" xr:uid="{00000000-0005-0000-0000-00008F030000}"/>
    <cellStyle name="_적격(화산) _광주평동품의1" xfId="913" xr:uid="{00000000-0005-0000-0000-000090030000}"/>
    <cellStyle name="_적격(화산) _송학하수품의(설계넣고)" xfId="914" xr:uid="{00000000-0005-0000-0000-000091030000}"/>
    <cellStyle name="_점검사진양식" xfId="915" xr:uid="{00000000-0005-0000-0000-000092030000}"/>
    <cellStyle name="_제출용병천하수(지역관로1)" xfId="916" xr:uid="{00000000-0005-0000-0000-000093030000}"/>
    <cellStyle name="_제출용병천하수(지역관로1)_광주평동투찰" xfId="917" xr:uid="{00000000-0005-0000-0000-000094030000}"/>
    <cellStyle name="_제출용병천하수(지역관로1)_광주평동품의1" xfId="918" xr:uid="{00000000-0005-0000-0000-000095030000}"/>
    <cellStyle name="_제출용병천하수(지역관로1)_송학하수품의(설계넣고)" xfId="919" xr:uid="{00000000-0005-0000-0000-000096030000}"/>
    <cellStyle name="_집행갑지 " xfId="920" xr:uid="{00000000-0005-0000-0000-000097030000}"/>
    <cellStyle name="_집행갑지 _광주평동투찰" xfId="921" xr:uid="{00000000-0005-0000-0000-000098030000}"/>
    <cellStyle name="_집행갑지 _광주평동품의1" xfId="922" xr:uid="{00000000-0005-0000-0000-000099030000}"/>
    <cellStyle name="_집행갑지 _송학하수품의(설계넣고)" xfId="923" xr:uid="{00000000-0005-0000-0000-00009A030000}"/>
    <cellStyle name="_창원상수도(투찰)-0.815%" xfId="924" xr:uid="{00000000-0005-0000-0000-00009B030000}"/>
    <cellStyle name="_호남선두계역외2개소연결통로" xfId="925" xr:uid="{00000000-0005-0000-0000-00009C030000}"/>
    <cellStyle name="_호남선전철화송정리역사111" xfId="926" xr:uid="{00000000-0005-0000-0000-00009D030000}"/>
    <cellStyle name="’E‰Y [0.00]_laroux" xfId="927" xr:uid="{00000000-0005-0000-0000-00009E030000}"/>
    <cellStyle name="’E‰Y_laroux" xfId="928" xr:uid="{00000000-0005-0000-0000-00009F030000}"/>
    <cellStyle name="¤@?e_TEST-1 " xfId="929" xr:uid="{00000000-0005-0000-0000-0000A0030000}"/>
    <cellStyle name="æØè [0.00]_NT Server " xfId="930" xr:uid="{00000000-0005-0000-0000-0000A1030000}"/>
    <cellStyle name="æØè_NT Server " xfId="931" xr:uid="{00000000-0005-0000-0000-0000A2030000}"/>
    <cellStyle name="὜ĀȀက" xfId="932" xr:uid="{00000000-0005-0000-0000-0000A3030000}"/>
    <cellStyle name="ÊÝ [0.00]_NT Server " xfId="933" xr:uid="{00000000-0005-0000-0000-0000A4030000}"/>
    <cellStyle name="ÊÝ_NT Server " xfId="934" xr:uid="{00000000-0005-0000-0000-0000A5030000}"/>
    <cellStyle name="W?_½RmF¼° " xfId="935" xr:uid="{00000000-0005-0000-0000-0000A6030000}"/>
    <cellStyle name="0.0" xfId="936" xr:uid="{00000000-0005-0000-0000-0000A7030000}"/>
    <cellStyle name="0.00" xfId="937" xr:uid="{00000000-0005-0000-0000-0000A8030000}"/>
    <cellStyle name="1" xfId="938" xr:uid="{00000000-0005-0000-0000-0000A9030000}"/>
    <cellStyle name="1_book1" xfId="939" xr:uid="{00000000-0005-0000-0000-0000AA030000}"/>
    <cellStyle name="1_EXCEL내역변환(재-노)" xfId="940" xr:uid="{00000000-0005-0000-0000-0000AB030000}"/>
    <cellStyle name="1_가월리배수펌프(04.23)" xfId="941" xr:uid="{00000000-0005-0000-0000-0000AC030000}"/>
    <cellStyle name="1_거성토건도급계약내역(신일중고)" xfId="942" xr:uid="{00000000-0005-0000-0000-0000AD030000}"/>
    <cellStyle name="1_계수대로" xfId="943" xr:uid="{00000000-0005-0000-0000-0000AE030000}"/>
    <cellStyle name="1_단가조사표" xfId="944" xr:uid="{00000000-0005-0000-0000-0000AF030000}"/>
    <cellStyle name="1_단가집" xfId="945" xr:uid="{00000000-0005-0000-0000-0000B0030000}"/>
    <cellStyle name="1_도암강진(흥산건설)" xfId="946" xr:uid="{00000000-0005-0000-0000-0000B1030000}"/>
    <cellStyle name="1_백제큰길내역서" xfId="947" xr:uid="{00000000-0005-0000-0000-0000B2030000}"/>
    <cellStyle name="1_부안-태인1산출" xfId="948" xr:uid="{00000000-0005-0000-0000-0000B3030000}"/>
    <cellStyle name="1_삼융건설(백제큰길)" xfId="949" xr:uid="{00000000-0005-0000-0000-0000B4030000}"/>
    <cellStyle name="1_송정리역사(토목완료林)" xfId="950" xr:uid="{00000000-0005-0000-0000-0000B5030000}"/>
    <cellStyle name="1_시민계략공사" xfId="951" xr:uid="{00000000-0005-0000-0000-0000B6030000}"/>
    <cellStyle name="1_시민계략공사_도암강진(흥산건설)" xfId="952" xr:uid="{00000000-0005-0000-0000-0000B7030000}"/>
    <cellStyle name="1_시민계략공사_도암강진(흥산건설)_해남내역서" xfId="953" xr:uid="{00000000-0005-0000-0000-0000B8030000}"/>
    <cellStyle name="1_시민계략공사_부안-태인1산출" xfId="954" xr:uid="{00000000-0005-0000-0000-0000B9030000}"/>
    <cellStyle name="1_시민계략공사_전기-한남" xfId="955" xr:uid="{00000000-0005-0000-0000-0000BA030000}"/>
    <cellStyle name="1_시민계략공사_주문진신리교(동일건설)" xfId="956" xr:uid="{00000000-0005-0000-0000-0000BB030000}"/>
    <cellStyle name="1_시민계략공사_흥한건설(이양능주2공구)" xfId="957" xr:uid="{00000000-0005-0000-0000-0000BC030000}"/>
    <cellStyle name="1_신일중고식당리모델링(설계변경070420)" xfId="958" xr:uid="{00000000-0005-0000-0000-0000BD030000}"/>
    <cellStyle name="1_입찰내역서갑지양식" xfId="959" xr:uid="{00000000-0005-0000-0000-0000BE030000}"/>
    <cellStyle name="1_전자입찰원가양식" xfId="960" xr:uid="{00000000-0005-0000-0000-0000BF030000}"/>
    <cellStyle name="1_주문진신리교(동일건설)" xfId="961" xr:uid="{00000000-0005-0000-0000-0000C0030000}"/>
    <cellStyle name="1_화곡5동주민자치센터신축공사" xfId="962" xr:uid="{00000000-0005-0000-0000-0000C1030000}"/>
    <cellStyle name="1_흥한건설(주)_두창산업폐기물(하도급)" xfId="963" xr:uid="{00000000-0005-0000-0000-0000C2030000}"/>
    <cellStyle name="19990216" xfId="964" xr:uid="{00000000-0005-0000-0000-0000C3030000}"/>
    <cellStyle name="¹e" xfId="965" xr:uid="{00000000-0005-0000-0000-0000C4030000}"/>
    <cellStyle name="2" xfId="966" xr:uid="{00000000-0005-0000-0000-0000C5030000}"/>
    <cellStyle name="2_단가조사표" xfId="967" xr:uid="{00000000-0005-0000-0000-0000C6030000}"/>
    <cellStyle name="20% - 강조색1 2" xfId="968" xr:uid="{00000000-0005-0000-0000-0000C7030000}"/>
    <cellStyle name="20% - 강조색2 2" xfId="969" xr:uid="{00000000-0005-0000-0000-0000C8030000}"/>
    <cellStyle name="20% - 강조색3 2" xfId="970" xr:uid="{00000000-0005-0000-0000-0000C9030000}"/>
    <cellStyle name="20% - 강조색4 2" xfId="971" xr:uid="{00000000-0005-0000-0000-0000CA030000}"/>
    <cellStyle name="20% - 강조색5 2" xfId="972" xr:uid="{00000000-0005-0000-0000-0000CB030000}"/>
    <cellStyle name="20% - 강조색6 2" xfId="973" xr:uid="{00000000-0005-0000-0000-0000CC030000}"/>
    <cellStyle name="40% - 강조색1 2" xfId="974" xr:uid="{00000000-0005-0000-0000-0000CD030000}"/>
    <cellStyle name="40% - 강조색2 2" xfId="975" xr:uid="{00000000-0005-0000-0000-0000CE030000}"/>
    <cellStyle name="40% - 강조색3 2" xfId="976" xr:uid="{00000000-0005-0000-0000-0000CF030000}"/>
    <cellStyle name="40% - 강조색4 2" xfId="977" xr:uid="{00000000-0005-0000-0000-0000D0030000}"/>
    <cellStyle name="40% - 강조색5 2" xfId="978" xr:uid="{00000000-0005-0000-0000-0000D1030000}"/>
    <cellStyle name="40% - 강조색6 2" xfId="979" xr:uid="{00000000-0005-0000-0000-0000D2030000}"/>
    <cellStyle name="60" xfId="980" xr:uid="{00000000-0005-0000-0000-0000D3030000}"/>
    <cellStyle name="60% - 강조색1 2" xfId="981" xr:uid="{00000000-0005-0000-0000-0000D4030000}"/>
    <cellStyle name="60% - 강조색2 2" xfId="982" xr:uid="{00000000-0005-0000-0000-0000D5030000}"/>
    <cellStyle name="60% - 강조색3 2" xfId="983" xr:uid="{00000000-0005-0000-0000-0000D6030000}"/>
    <cellStyle name="60% - 강조색4 2" xfId="984" xr:uid="{00000000-0005-0000-0000-0000D7030000}"/>
    <cellStyle name="60% - 강조색5 2" xfId="985" xr:uid="{00000000-0005-0000-0000-0000D8030000}"/>
    <cellStyle name="60% - 강조색6 2" xfId="986" xr:uid="{00000000-0005-0000-0000-0000D9030000}"/>
    <cellStyle name="A" xfId="987" xr:uid="{00000000-0005-0000-0000-0000DA030000}"/>
    <cellStyle name="Ā _x0010_က랐_xdc01_땯_x0001_" xfId="988" xr:uid="{00000000-0005-0000-0000-0000DB030000}"/>
    <cellStyle name="A_거성토건도급계약내역(신일중고)" xfId="989" xr:uid="{00000000-0005-0000-0000-0000DC030000}"/>
    <cellStyle name="A_도로" xfId="990" xr:uid="{00000000-0005-0000-0000-0000DD030000}"/>
    <cellStyle name="A_부대초안" xfId="991" xr:uid="{00000000-0005-0000-0000-0000DE030000}"/>
    <cellStyle name="A_부대초안_견적의뢰" xfId="992" xr:uid="{00000000-0005-0000-0000-0000DF030000}"/>
    <cellStyle name="A_부대초안_김포투찰" xfId="993" xr:uid="{00000000-0005-0000-0000-0000E0030000}"/>
    <cellStyle name="A_부대초안_김포투찰_견적의뢰" xfId="994" xr:uid="{00000000-0005-0000-0000-0000E1030000}"/>
    <cellStyle name="A_토목내역서" xfId="995" xr:uid="{00000000-0005-0000-0000-0000E2030000}"/>
    <cellStyle name="A_토목내역서_도로" xfId="996" xr:uid="{00000000-0005-0000-0000-0000E3030000}"/>
    <cellStyle name="A_토목내역서_부대초안" xfId="997" xr:uid="{00000000-0005-0000-0000-0000E4030000}"/>
    <cellStyle name="A_토목내역서_부대초안_견적의뢰" xfId="998" xr:uid="{00000000-0005-0000-0000-0000E5030000}"/>
    <cellStyle name="A_토목내역서_부대초안_김포투찰" xfId="999" xr:uid="{00000000-0005-0000-0000-0000E6030000}"/>
    <cellStyle name="A_토목내역서_부대초안_김포투찰_견적의뢰" xfId="1000" xr:uid="{00000000-0005-0000-0000-0000E7030000}"/>
    <cellStyle name="A¨­¢¬¢Ò [0]_¡Æ¨ÏAo" xfId="1001" xr:uid="{00000000-0005-0000-0000-0000E8030000}"/>
    <cellStyle name="A¨­￠￢￠O [0]_¨oCAuCoEⓒ÷ " xfId="1002" xr:uid="{00000000-0005-0000-0000-0000E9030000}"/>
    <cellStyle name="A¨­¢¬¢Ò_¡Æ¨ÏAo" xfId="1003" xr:uid="{00000000-0005-0000-0000-0000EA030000}"/>
    <cellStyle name="A¨­￠￢￠O_¨oCAuCoEⓒ÷ " xfId="1004" xr:uid="{00000000-0005-0000-0000-0000EB030000}"/>
    <cellStyle name="Aⓒ­" xfId="1005" xr:uid="{00000000-0005-0000-0000-0000EC030000}"/>
    <cellStyle name="Ae" xfId="1006" xr:uid="{00000000-0005-0000-0000-0000ED030000}"/>
    <cellStyle name="Aee­ " xfId="1007" xr:uid="{00000000-0005-0000-0000-0000EE030000}"/>
    <cellStyle name="AeE­ [0]_¸ðCu¸·" xfId="1008" xr:uid="{00000000-0005-0000-0000-0000EF030000}"/>
    <cellStyle name="ÅëÈ­ [0]_¸ðÇü¸·" xfId="1009" xr:uid="{00000000-0005-0000-0000-0000F0030000}"/>
    <cellStyle name="AeE­ [0]_¸ðCu¸· 2" xfId="1010" xr:uid="{00000000-0005-0000-0000-0000F1030000}"/>
    <cellStyle name="ÅëÈ­ [0]_¸ñÂ÷ " xfId="1011" xr:uid="{00000000-0005-0000-0000-0000F2030000}"/>
    <cellStyle name="AeE­ [0]_¼oAI¼º " xfId="1012" xr:uid="{00000000-0005-0000-0000-0000F3030000}"/>
    <cellStyle name="ÅëÈ­ [0]_INQUIRY ¿µ¾÷ÃßÁø " xfId="1013" xr:uid="{00000000-0005-0000-0000-0000F4030000}"/>
    <cellStyle name="AeE­ [0]_INQUIRY ¿μ¾÷AßAø " xfId="1014" xr:uid="{00000000-0005-0000-0000-0000F5030000}"/>
    <cellStyle name="ÅëÈ­ [0]_º»¼± ±æ¾î±úºÎ ¼ö·® Áý°èÇ¥ " xfId="1015" xr:uid="{00000000-0005-0000-0000-0000F6030000}"/>
    <cellStyle name="AeE­ [0]_º≫¼± ±æ¾i±uºI ¼o·R Ay°eC￥ " xfId="1016" xr:uid="{00000000-0005-0000-0000-0000F7030000}"/>
    <cellStyle name="Aee­ _거성토건도급계약내역(신일중고)" xfId="1017" xr:uid="{00000000-0005-0000-0000-0000F8030000}"/>
    <cellStyle name="AeE­_¸ðCu¸·" xfId="1018" xr:uid="{00000000-0005-0000-0000-0000F9030000}"/>
    <cellStyle name="ÅëÈ­_¸ðÇü¸·" xfId="1019" xr:uid="{00000000-0005-0000-0000-0000FA030000}"/>
    <cellStyle name="AeE­_¸ðCu¸· 2" xfId="1020" xr:uid="{00000000-0005-0000-0000-0000FB030000}"/>
    <cellStyle name="ÅëÈ­_¸ñÂ÷ " xfId="1021" xr:uid="{00000000-0005-0000-0000-0000FC030000}"/>
    <cellStyle name="AeE­_¼oAI¼º " xfId="1022" xr:uid="{00000000-0005-0000-0000-0000FD030000}"/>
    <cellStyle name="ÅëÈ­_INQUIRY ¿µ¾÷ÃßÁø " xfId="1023" xr:uid="{00000000-0005-0000-0000-0000FE030000}"/>
    <cellStyle name="AeE­_INQUIRY ¿μ¾÷AßAø " xfId="1024" xr:uid="{00000000-0005-0000-0000-0000FF030000}"/>
    <cellStyle name="ÅëÈ­_º»¼± ±æ¾î±úºÎ ¼ö·® Áý°èÇ¥ " xfId="1025" xr:uid="{00000000-0005-0000-0000-000000040000}"/>
    <cellStyle name="AeE­_º≫¼± ±æ¾i±uºI ¼o·R Ay°eC￥ " xfId="1026" xr:uid="{00000000-0005-0000-0000-000001040000}"/>
    <cellStyle name="Aee¡" xfId="1027" xr:uid="{00000000-0005-0000-0000-000002040000}"/>
    <cellStyle name="AeE¡© [0]_¡Æ¨ÏAo" xfId="1028" xr:uid="{00000000-0005-0000-0000-000003040000}"/>
    <cellStyle name="AeE¡©_¡Æ¨ÏAo" xfId="1029" xr:uid="{00000000-0005-0000-0000-000004040000}"/>
    <cellStyle name="AeE¡ⓒ [0]_¨oCAuCoEⓒ÷ " xfId="1030" xr:uid="{00000000-0005-0000-0000-000005040000}"/>
    <cellStyle name="AeE¡ⓒ_¨oCAuCoEⓒ÷ " xfId="1031" xr:uid="{00000000-0005-0000-0000-000006040000}"/>
    <cellStyle name="ALIGNMENT" xfId="1032" xr:uid="{00000000-0005-0000-0000-000007040000}"/>
    <cellStyle name="Aþ¸" xfId="1033" xr:uid="{00000000-0005-0000-0000-000008040000}"/>
    <cellStyle name="AÞ¸¶ [0]_¸ðCu¸·" xfId="1034" xr:uid="{00000000-0005-0000-0000-000009040000}"/>
    <cellStyle name="ÄÞ¸¶ [0]_¸ðÇü¸·" xfId="1035" xr:uid="{00000000-0005-0000-0000-00000A040000}"/>
    <cellStyle name="AÞ¸¶ [0]_¸ðCu¸· 2" xfId="1036" xr:uid="{00000000-0005-0000-0000-00000B040000}"/>
    <cellStyle name="ÄÞ¸¶ [0]_¸ñÂ÷ " xfId="1037" xr:uid="{00000000-0005-0000-0000-00000C040000}"/>
    <cellStyle name="AÞ¸¶ [0]_¼oAI¼º " xfId="1038" xr:uid="{00000000-0005-0000-0000-00000D040000}"/>
    <cellStyle name="ÄÞ¸¶ [0]_INQUIRY ¿µ¾÷ÃßÁø " xfId="1039" xr:uid="{00000000-0005-0000-0000-00000E040000}"/>
    <cellStyle name="AÞ¸¶ [0]_INQUIRY ¿μ¾÷AßAø " xfId="1040" xr:uid="{00000000-0005-0000-0000-00000F040000}"/>
    <cellStyle name="ÄÞ¸¶ [0]_º»¼± ±æ¾î±úºÎ ¼ö·® Áý°èÇ¥ " xfId="1041" xr:uid="{00000000-0005-0000-0000-000010040000}"/>
    <cellStyle name="AÞ¸¶ [0]_º≫¼± ±æ¾i±uºI ¼o·R Ay°eC￥ " xfId="1042" xr:uid="{00000000-0005-0000-0000-000011040000}"/>
    <cellStyle name="AÞ¸¶_¸ðCu¸·" xfId="1043" xr:uid="{00000000-0005-0000-0000-000012040000}"/>
    <cellStyle name="ÄÞ¸¶_¸ðÇü¸·" xfId="1044" xr:uid="{00000000-0005-0000-0000-000013040000}"/>
    <cellStyle name="AÞ¸¶_¸ðCu¸· 2" xfId="1045" xr:uid="{00000000-0005-0000-0000-000014040000}"/>
    <cellStyle name="ÄÞ¸¶_¸ñÂ÷ " xfId="1046" xr:uid="{00000000-0005-0000-0000-000015040000}"/>
    <cellStyle name="AÞ¸¶_¼oAI¼º " xfId="1047" xr:uid="{00000000-0005-0000-0000-000016040000}"/>
    <cellStyle name="ÄÞ¸¶_INQUIRY ¿µ¾÷ÃßÁø " xfId="1048" xr:uid="{00000000-0005-0000-0000-000017040000}"/>
    <cellStyle name="AÞ¸¶_INQUIRY ¿μ¾÷AßAø " xfId="1049" xr:uid="{00000000-0005-0000-0000-000018040000}"/>
    <cellStyle name="ÄÞ¸¶_º»¼± ±æ¾î±úºÎ ¼ö·® Áý°èÇ¥ " xfId="1050" xr:uid="{00000000-0005-0000-0000-000019040000}"/>
    <cellStyle name="AÞ¸¶_º≫¼± ±æ¾i±uºI ¼o·R Ay°eC￥ " xfId="1051" xr:uid="{00000000-0005-0000-0000-00001A040000}"/>
    <cellStyle name="_x0001_b" xfId="1052" xr:uid="{00000000-0005-0000-0000-00001B040000}"/>
    <cellStyle name="Body" xfId="1053" xr:uid="{00000000-0005-0000-0000-00001C040000}"/>
    <cellStyle name="C" xfId="1054" xr:uid="{00000000-0005-0000-0000-00001D040000}"/>
    <cellStyle name="C[rrency [0]_laroux_1" xfId="1055" xr:uid="{00000000-0005-0000-0000-00001E040000}"/>
    <cellStyle name="C_거성토건도급계약내역(신일중고)" xfId="1056" xr:uid="{00000000-0005-0000-0000-00001F040000}"/>
    <cellStyle name="C_도로" xfId="1057" xr:uid="{00000000-0005-0000-0000-000020040000}"/>
    <cellStyle name="C_부대초안" xfId="1058" xr:uid="{00000000-0005-0000-0000-000021040000}"/>
    <cellStyle name="C_부대초안_견적의뢰" xfId="1059" xr:uid="{00000000-0005-0000-0000-000022040000}"/>
    <cellStyle name="C_부대초안_김포투찰" xfId="1060" xr:uid="{00000000-0005-0000-0000-000023040000}"/>
    <cellStyle name="C_부대초안_김포투찰_견적의뢰" xfId="1061" xr:uid="{00000000-0005-0000-0000-000024040000}"/>
    <cellStyle name="C_토목내역서" xfId="1062" xr:uid="{00000000-0005-0000-0000-000025040000}"/>
    <cellStyle name="C_토목내역서_도로" xfId="1063" xr:uid="{00000000-0005-0000-0000-000026040000}"/>
    <cellStyle name="C_토목내역서_부대초안" xfId="1064" xr:uid="{00000000-0005-0000-0000-000027040000}"/>
    <cellStyle name="C_토목내역서_부대초안_견적의뢰" xfId="1065" xr:uid="{00000000-0005-0000-0000-000028040000}"/>
    <cellStyle name="C_토목내역서_부대초안_김포투찰" xfId="1066" xr:uid="{00000000-0005-0000-0000-000029040000}"/>
    <cellStyle name="C_토목내역서_부대초안_김포투찰_견적의뢰" xfId="1067" xr:uid="{00000000-0005-0000-0000-00002A040000}"/>
    <cellStyle name="C¡ÍA¨ª_¡Æ¨ÏAo" xfId="1068" xr:uid="{00000000-0005-0000-0000-00002B040000}"/>
    <cellStyle name="C¡IA¨ª_¡ic¨u¡A¨￢I¨￢¡Æ AN¡Æe " xfId="1069" xr:uid="{00000000-0005-0000-0000-00002C040000}"/>
    <cellStyle name="C￥AØ_  FAB AIA¤  " xfId="1070" xr:uid="{00000000-0005-0000-0000-00002D040000}"/>
    <cellStyle name="Ç¥ÁØ_¸ðÇü¸·" xfId="1071" xr:uid="{00000000-0005-0000-0000-00002E040000}"/>
    <cellStyle name="C￥AØ_¿μ¾÷CoE² " xfId="1072" xr:uid="{00000000-0005-0000-0000-00002F040000}"/>
    <cellStyle name="Ç¥ÁØ_°­´ç (2)" xfId="1073" xr:uid="{00000000-0005-0000-0000-000030040000}"/>
    <cellStyle name="C￥AØ_¾c½A " xfId="1074" xr:uid="{00000000-0005-0000-0000-000031040000}"/>
    <cellStyle name="Ç¥ÁØ_5-1±¤°í " xfId="1075" xr:uid="{00000000-0005-0000-0000-000032040000}"/>
    <cellStyle name="C￥AØ_AN°y(1.25) " xfId="1076" xr:uid="{00000000-0005-0000-0000-000033040000}"/>
    <cellStyle name="Ç¥ÁØ_Áý°èÇ¥(2¿ù) " xfId="1077" xr:uid="{00000000-0005-0000-0000-000034040000}"/>
    <cellStyle name="C￥AØ_PERSONAL" xfId="1078" xr:uid="{00000000-0005-0000-0000-000035040000}"/>
    <cellStyle name="Calc Currency (0)" xfId="1079" xr:uid="{00000000-0005-0000-0000-000036040000}"/>
    <cellStyle name="category" xfId="1080" xr:uid="{00000000-0005-0000-0000-000037040000}"/>
    <cellStyle name="ⓒo" xfId="1081" xr:uid="{00000000-0005-0000-0000-000038040000}"/>
    <cellStyle name="CODE" xfId="1082" xr:uid="{00000000-0005-0000-0000-000039040000}"/>
    <cellStyle name="Comma" xfId="1083" xr:uid="{00000000-0005-0000-0000-00003A040000}"/>
    <cellStyle name="Comma [0]" xfId="1084" xr:uid="{00000000-0005-0000-0000-00003B040000}"/>
    <cellStyle name="Comma 2" xfId="1085" xr:uid="{00000000-0005-0000-0000-00003C040000}"/>
    <cellStyle name="comma zerodec" xfId="1086" xr:uid="{00000000-0005-0000-0000-00003D040000}"/>
    <cellStyle name="Comma_ SG&amp;A Bridge " xfId="1087" xr:uid="{00000000-0005-0000-0000-00003E040000}"/>
    <cellStyle name="Comma0" xfId="1088" xr:uid="{00000000-0005-0000-0000-00003F040000}"/>
    <cellStyle name="Comm뼬_E&amp;ONW2" xfId="1089" xr:uid="{00000000-0005-0000-0000-000040040000}"/>
    <cellStyle name="Copied" xfId="1090" xr:uid="{00000000-0005-0000-0000-000041040000}"/>
    <cellStyle name="Curren?_x0012_퐀_x0017_?" xfId="1091" xr:uid="{00000000-0005-0000-0000-000042040000}"/>
    <cellStyle name="Currency" xfId="1092" xr:uid="{00000000-0005-0000-0000-000043040000}"/>
    <cellStyle name="Currency [0]" xfId="1093" xr:uid="{00000000-0005-0000-0000-000044040000}"/>
    <cellStyle name="Currency 2" xfId="1094" xr:uid="{00000000-0005-0000-0000-000045040000}"/>
    <cellStyle name="Currency 3" xfId="1095" xr:uid="{00000000-0005-0000-0000-000046040000}"/>
    <cellStyle name="Currency 4" xfId="1096" xr:uid="{00000000-0005-0000-0000-000047040000}"/>
    <cellStyle name="Currency 5" xfId="1097" xr:uid="{00000000-0005-0000-0000-000048040000}"/>
    <cellStyle name="Currency 6" xfId="1098" xr:uid="{00000000-0005-0000-0000-000049040000}"/>
    <cellStyle name="Currency_ SG&amp;A Bridge " xfId="1099" xr:uid="{00000000-0005-0000-0000-00004A040000}"/>
    <cellStyle name="Currency0" xfId="1100" xr:uid="{00000000-0005-0000-0000-00004B040000}"/>
    <cellStyle name="Currency1" xfId="1101" xr:uid="{00000000-0005-0000-0000-00004C040000}"/>
    <cellStyle name="Date" xfId="1102" xr:uid="{00000000-0005-0000-0000-00004D040000}"/>
    <cellStyle name="Date 2" xfId="1103" xr:uid="{00000000-0005-0000-0000-00004E040000}"/>
    <cellStyle name="Date 3" xfId="1104" xr:uid="{00000000-0005-0000-0000-00004F040000}"/>
    <cellStyle name="Dezimal [0]_Compiling Utility Macros" xfId="1105" xr:uid="{00000000-0005-0000-0000-000050040000}"/>
    <cellStyle name="Dezimal_Compiling Utility Macros" xfId="1106" xr:uid="{00000000-0005-0000-0000-000051040000}"/>
    <cellStyle name="Dollar (zero dec)" xfId="1107" xr:uid="{00000000-0005-0000-0000-000052040000}"/>
    <cellStyle name="Entered" xfId="1108" xr:uid="{00000000-0005-0000-0000-000053040000}"/>
    <cellStyle name="F2" xfId="1109" xr:uid="{00000000-0005-0000-0000-000054040000}"/>
    <cellStyle name="F3" xfId="1110" xr:uid="{00000000-0005-0000-0000-000055040000}"/>
    <cellStyle name="F4" xfId="1111" xr:uid="{00000000-0005-0000-0000-000056040000}"/>
    <cellStyle name="F5" xfId="1112" xr:uid="{00000000-0005-0000-0000-000057040000}"/>
    <cellStyle name="F6" xfId="1113" xr:uid="{00000000-0005-0000-0000-000058040000}"/>
    <cellStyle name="F7" xfId="1114" xr:uid="{00000000-0005-0000-0000-000059040000}"/>
    <cellStyle name="F8" xfId="1115" xr:uid="{00000000-0005-0000-0000-00005A040000}"/>
    <cellStyle name="Fixed" xfId="1116" xr:uid="{00000000-0005-0000-0000-00005B040000}"/>
    <cellStyle name="Fixed 2" xfId="1117" xr:uid="{00000000-0005-0000-0000-00005C040000}"/>
    <cellStyle name="Fixed 3" xfId="1118" xr:uid="{00000000-0005-0000-0000-00005D040000}"/>
    <cellStyle name="Followed Hyperlink" xfId="1119" xr:uid="{00000000-0005-0000-0000-00005E040000}"/>
    <cellStyle name="Grey" xfId="1120" xr:uid="{00000000-0005-0000-0000-00005F040000}"/>
    <cellStyle name="Grey 2" xfId="1121" xr:uid="{00000000-0005-0000-0000-000060040000}"/>
    <cellStyle name="H1" xfId="1122" xr:uid="{00000000-0005-0000-0000-000061040000}"/>
    <cellStyle name="H2" xfId="1123" xr:uid="{00000000-0005-0000-0000-000062040000}"/>
    <cellStyle name="HEADER" xfId="1124" xr:uid="{00000000-0005-0000-0000-000063040000}"/>
    <cellStyle name="Header1" xfId="1125" xr:uid="{00000000-0005-0000-0000-000064040000}"/>
    <cellStyle name="Header2" xfId="1126" xr:uid="{00000000-0005-0000-0000-000065040000}"/>
    <cellStyle name="Heading 1" xfId="1127" xr:uid="{00000000-0005-0000-0000-000066040000}"/>
    <cellStyle name="Heading 2" xfId="1128" xr:uid="{00000000-0005-0000-0000-000067040000}"/>
    <cellStyle name="Heading1" xfId="1129" xr:uid="{00000000-0005-0000-0000-000068040000}"/>
    <cellStyle name="Heading1 2" xfId="1130" xr:uid="{00000000-0005-0000-0000-000069040000}"/>
    <cellStyle name="Heading1 3" xfId="1131" xr:uid="{00000000-0005-0000-0000-00006A040000}"/>
    <cellStyle name="Heading2" xfId="1132" xr:uid="{00000000-0005-0000-0000-00006B040000}"/>
    <cellStyle name="Heading2 2" xfId="1133" xr:uid="{00000000-0005-0000-0000-00006C040000}"/>
    <cellStyle name="Heading2 3" xfId="1134" xr:uid="{00000000-0005-0000-0000-00006D040000}"/>
    <cellStyle name="Heading2 4" xfId="1135" xr:uid="{00000000-0005-0000-0000-00006E040000}"/>
    <cellStyle name="Hyperlink" xfId="1136" xr:uid="{00000000-0005-0000-0000-00006F040000}"/>
    <cellStyle name="Hyperlink 2" xfId="1137" xr:uid="{00000000-0005-0000-0000-000070040000}"/>
    <cellStyle name="Input [yellow]" xfId="1138" xr:uid="{00000000-0005-0000-0000-000071040000}"/>
    <cellStyle name="Input [yellow] 2" xfId="1139" xr:uid="{00000000-0005-0000-0000-000072040000}"/>
    <cellStyle name="Midtitle" xfId="1140" xr:uid="{00000000-0005-0000-0000-000073040000}"/>
    <cellStyle name="Milliers [0]_!!!GO" xfId="1141" xr:uid="{00000000-0005-0000-0000-000074040000}"/>
    <cellStyle name="Milliers_!!!GO" xfId="1142" xr:uid="{00000000-0005-0000-0000-000075040000}"/>
    <cellStyle name="Model" xfId="1143" xr:uid="{00000000-0005-0000-0000-000076040000}"/>
    <cellStyle name="Mon?aire [0]_!!!GO" xfId="1144" xr:uid="{00000000-0005-0000-0000-000077040000}"/>
    <cellStyle name="Mon?aire_!!!GO" xfId="1145" xr:uid="{00000000-0005-0000-0000-000078040000}"/>
    <cellStyle name="Nermal_ SG&amp;A Bridge " xfId="1146" xr:uid="{00000000-0005-0000-0000-000079040000}"/>
    <cellStyle name="no dec" xfId="1147" xr:uid="{00000000-0005-0000-0000-00007A040000}"/>
    <cellStyle name="Normal - Style1" xfId="1148" xr:uid="{00000000-0005-0000-0000-00007B040000}"/>
    <cellStyle name="Normal - Style1 2" xfId="1149" xr:uid="{00000000-0005-0000-0000-00007C040000}"/>
    <cellStyle name="Normal - Style2" xfId="1150" xr:uid="{00000000-0005-0000-0000-00007D040000}"/>
    <cellStyle name="Normal - Style3" xfId="1151" xr:uid="{00000000-0005-0000-0000-00007E040000}"/>
    <cellStyle name="Normal - Style4" xfId="1152" xr:uid="{00000000-0005-0000-0000-00007F040000}"/>
    <cellStyle name="Normal - Style5" xfId="1153" xr:uid="{00000000-0005-0000-0000-000080040000}"/>
    <cellStyle name="Normal - Style6" xfId="1154" xr:uid="{00000000-0005-0000-0000-000081040000}"/>
    <cellStyle name="Normal - Style7" xfId="1155" xr:uid="{00000000-0005-0000-0000-000082040000}"/>
    <cellStyle name="Normal - Style8" xfId="1156" xr:uid="{00000000-0005-0000-0000-000083040000}"/>
    <cellStyle name="Normal - 유형1" xfId="1157" xr:uid="{00000000-0005-0000-0000-000084040000}"/>
    <cellStyle name="Normal_ Plans" xfId="1158" xr:uid="{00000000-0005-0000-0000-000085040000}"/>
    <cellStyle name="Œ…?æ맖?e [0.00]_laroux" xfId="1159" xr:uid="{00000000-0005-0000-0000-000086040000}"/>
    <cellStyle name="Œ…?æ맖?e_laroux" xfId="1160" xr:uid="{00000000-0005-0000-0000-000087040000}"/>
    <cellStyle name="oft Excel]_x000d__x000a_Comment=The open=/f lines load custom functions into the Paste Function list._x000d__x000a_Maximized=3_x000d__x000a_AutoFormat=" xfId="1161" xr:uid="{00000000-0005-0000-0000-000088040000}"/>
    <cellStyle name="Percent" xfId="1162" xr:uid="{00000000-0005-0000-0000-000089040000}"/>
    <cellStyle name="Percent [2]" xfId="1163" xr:uid="{00000000-0005-0000-0000-00008A040000}"/>
    <cellStyle name="Percent 2" xfId="1164" xr:uid="{00000000-0005-0000-0000-00008B040000}"/>
    <cellStyle name="Percent 3" xfId="1165" xr:uid="{00000000-0005-0000-0000-00008C040000}"/>
    <cellStyle name="Percent 4" xfId="1166" xr:uid="{00000000-0005-0000-0000-00008D040000}"/>
    <cellStyle name="Percent 5" xfId="1167" xr:uid="{00000000-0005-0000-0000-00008E040000}"/>
    <cellStyle name="Percent 6" xfId="1168" xr:uid="{00000000-0005-0000-0000-00008F040000}"/>
    <cellStyle name="Percent_!!!GO" xfId="1169" xr:uid="{00000000-0005-0000-0000-000090040000}"/>
    <cellStyle name="RevList" xfId="1170" xr:uid="{00000000-0005-0000-0000-000091040000}"/>
    <cellStyle name="STANDARD" xfId="1171" xr:uid="{00000000-0005-0000-0000-000092040000}"/>
    <cellStyle name="subhead" xfId="1172" xr:uid="{00000000-0005-0000-0000-000093040000}"/>
    <cellStyle name="Subtotal" xfId="1173" xr:uid="{00000000-0005-0000-0000-000094040000}"/>
    <cellStyle name="testtitle" xfId="1174" xr:uid="{00000000-0005-0000-0000-000095040000}"/>
    <cellStyle name="title [1]" xfId="1175" xr:uid="{00000000-0005-0000-0000-000096040000}"/>
    <cellStyle name="title [2]" xfId="1176" xr:uid="{00000000-0005-0000-0000-000097040000}"/>
    <cellStyle name="Total" xfId="1177" xr:uid="{00000000-0005-0000-0000-000098040000}"/>
    <cellStyle name="Total 2" xfId="1178" xr:uid="{00000000-0005-0000-0000-000099040000}"/>
    <cellStyle name="Total 3" xfId="1179" xr:uid="{00000000-0005-0000-0000-00009A040000}"/>
    <cellStyle name="UM" xfId="1180" xr:uid="{00000000-0005-0000-0000-00009B040000}"/>
    <cellStyle name="Unprot$" xfId="1181" xr:uid="{00000000-0005-0000-0000-00009C040000}"/>
    <cellStyle name="W?rung [0]_Compiling Utility Macros" xfId="1182" xr:uid="{00000000-0005-0000-0000-00009D040000}"/>
    <cellStyle name="W?rung_Compiling Utility Macros" xfId="1183" xr:uid="{00000000-0005-0000-0000-00009E040000}"/>
    <cellStyle name="|?ドE" xfId="1184" xr:uid="{00000000-0005-0000-0000-00009F040000}"/>
    <cellStyle name="강조색1 2" xfId="1185" xr:uid="{00000000-0005-0000-0000-0000A0040000}"/>
    <cellStyle name="강조색2 2" xfId="1186" xr:uid="{00000000-0005-0000-0000-0000A1040000}"/>
    <cellStyle name="강조색3 2" xfId="1187" xr:uid="{00000000-0005-0000-0000-0000A2040000}"/>
    <cellStyle name="강조색4 2" xfId="1188" xr:uid="{00000000-0005-0000-0000-0000A3040000}"/>
    <cellStyle name="강조색5 2" xfId="1189" xr:uid="{00000000-0005-0000-0000-0000A4040000}"/>
    <cellStyle name="강조색6 2" xfId="1190" xr:uid="{00000000-0005-0000-0000-0000A5040000}"/>
    <cellStyle name="경고문 2" xfId="1191" xr:uid="{00000000-0005-0000-0000-0000A6040000}"/>
    <cellStyle name="계산 2" xfId="1192" xr:uid="{00000000-0005-0000-0000-0000A7040000}"/>
    <cellStyle name="고정소숫점" xfId="1193" xr:uid="{00000000-0005-0000-0000-0000A8040000}"/>
    <cellStyle name="고정출력1" xfId="1194" xr:uid="{00000000-0005-0000-0000-0000A9040000}"/>
    <cellStyle name="고정출력2" xfId="1195" xr:uid="{00000000-0005-0000-0000-0000AA040000}"/>
    <cellStyle name="공백" xfId="1196" xr:uid="{00000000-0005-0000-0000-0000AB040000}"/>
    <cellStyle name="공백1" xfId="1197" xr:uid="{00000000-0005-0000-0000-0000AC040000}"/>
    <cellStyle name="공백1수" xfId="1198" xr:uid="{00000000-0005-0000-0000-0000AD040000}"/>
    <cellStyle name="공사원가계산서(조경)" xfId="1199" xr:uid="{00000000-0005-0000-0000-0000AE040000}"/>
    <cellStyle name="굴림" xfId="1200" xr:uid="{00000000-0005-0000-0000-0000AF040000}"/>
    <cellStyle name="기본내역서" xfId="1201" xr:uid="{00000000-0005-0000-0000-0000B0040000}"/>
    <cellStyle name="끼_x0001_?" xfId="1202" xr:uid="{00000000-0005-0000-0000-0000B1040000}"/>
    <cellStyle name="나쁨 2" xfId="1203" xr:uid="{00000000-0005-0000-0000-0000B2040000}"/>
    <cellStyle name="날짜" xfId="1204" xr:uid="{00000000-0005-0000-0000-0000B3040000}"/>
    <cellStyle name="내역서" xfId="1205" xr:uid="{00000000-0005-0000-0000-0000B4040000}"/>
    <cellStyle name="단위" xfId="1206" xr:uid="{00000000-0005-0000-0000-0000B5040000}"/>
    <cellStyle name="달러" xfId="1207" xr:uid="{00000000-0005-0000-0000-0000B6040000}"/>
    <cellStyle name="뒤에 오는 하이퍼링크" xfId="1208" xr:uid="{00000000-0005-0000-0000-0000B7040000}"/>
    <cellStyle name="똿뗦먛귟 [0.00]_laroux" xfId="1209" xr:uid="{00000000-0005-0000-0000-0000B8040000}"/>
    <cellStyle name="똿뗦먛귟_laroux" xfId="1210" xr:uid="{00000000-0005-0000-0000-0000B9040000}"/>
    <cellStyle name="메모 2" xfId="1211" xr:uid="{00000000-0005-0000-0000-0000BA040000}"/>
    <cellStyle name="메모 3" xfId="1212" xr:uid="{00000000-0005-0000-0000-0000BB040000}"/>
    <cellStyle name="믅됞 [0.00]_laroux" xfId="1213" xr:uid="{00000000-0005-0000-0000-0000BC040000}"/>
    <cellStyle name="믅됞_laroux" xfId="1214" xr:uid="{00000000-0005-0000-0000-0000BD040000}"/>
    <cellStyle name="배분" xfId="1215" xr:uid="{00000000-0005-0000-0000-0000BE040000}"/>
    <cellStyle name="백" xfId="1216" xr:uid="{00000000-0005-0000-0000-0000BF040000}"/>
    <cellStyle name="백_3.우수" xfId="1217" xr:uid="{00000000-0005-0000-0000-0000C0040000}"/>
    <cellStyle name="백_3.우수_1" xfId="1218" xr:uid="{00000000-0005-0000-0000-0000C1040000}"/>
    <cellStyle name="백_4.오수" xfId="1219" xr:uid="{00000000-0005-0000-0000-0000C2040000}"/>
    <cellStyle name="백_거성토건도급계약내역(신일중고)" xfId="1220" xr:uid="{00000000-0005-0000-0000-0000C3040000}"/>
    <cellStyle name="백_도로" xfId="1221" xr:uid="{00000000-0005-0000-0000-0000C4040000}"/>
    <cellStyle name="백_부대초안" xfId="1222" xr:uid="{00000000-0005-0000-0000-0000C5040000}"/>
    <cellStyle name="백_부대초안_견적의뢰" xfId="1223" xr:uid="{00000000-0005-0000-0000-0000C6040000}"/>
    <cellStyle name="백_부대초안_김포투찰" xfId="1224" xr:uid="{00000000-0005-0000-0000-0000C7040000}"/>
    <cellStyle name="백_부대초안_김포투찰_견적의뢰" xfId="1225" xr:uid="{00000000-0005-0000-0000-0000C8040000}"/>
    <cellStyle name="백_실행예산" xfId="1226" xr:uid="{00000000-0005-0000-0000-0000C9040000}"/>
    <cellStyle name="백_토목내역서" xfId="1227" xr:uid="{00000000-0005-0000-0000-0000CA040000}"/>
    <cellStyle name="백_토목내역서_도로" xfId="1228" xr:uid="{00000000-0005-0000-0000-0000CB040000}"/>
    <cellStyle name="백_토목내역서_부대초안" xfId="1229" xr:uid="{00000000-0005-0000-0000-0000CC040000}"/>
    <cellStyle name="백_토목내역서_부대초안_견적의뢰" xfId="1230" xr:uid="{00000000-0005-0000-0000-0000CD040000}"/>
    <cellStyle name="백_토목내역서_부대초안_김포투찰" xfId="1231" xr:uid="{00000000-0005-0000-0000-0000CE040000}"/>
    <cellStyle name="백_토목내역서_부대초안_김포투찰_견적의뢰" xfId="1232" xr:uid="{00000000-0005-0000-0000-0000CF040000}"/>
    <cellStyle name="백분율 [0]" xfId="1233" xr:uid="{00000000-0005-0000-0000-0000D0040000}"/>
    <cellStyle name="백분율 [2]" xfId="1234" xr:uid="{00000000-0005-0000-0000-0000D1040000}"/>
    <cellStyle name="백분율 10" xfId="1235" xr:uid="{00000000-0005-0000-0000-0000D2040000}"/>
    <cellStyle name="백분율 11" xfId="1236" xr:uid="{00000000-0005-0000-0000-0000D3040000}"/>
    <cellStyle name="백분율 12" xfId="1237" xr:uid="{00000000-0005-0000-0000-0000D4040000}"/>
    <cellStyle name="백분율 13" xfId="1238" xr:uid="{00000000-0005-0000-0000-0000D5040000}"/>
    <cellStyle name="백분율 2" xfId="1239" xr:uid="{00000000-0005-0000-0000-0000D6040000}"/>
    <cellStyle name="백분율 2 2" xfId="1240" xr:uid="{00000000-0005-0000-0000-0000D7040000}"/>
    <cellStyle name="백분율 2 3" xfId="1241" xr:uid="{00000000-0005-0000-0000-0000D8040000}"/>
    <cellStyle name="백분율 3" xfId="1242" xr:uid="{00000000-0005-0000-0000-0000D9040000}"/>
    <cellStyle name="백분율 4" xfId="1243" xr:uid="{00000000-0005-0000-0000-0000DA040000}"/>
    <cellStyle name="백분율 5" xfId="1244" xr:uid="{00000000-0005-0000-0000-0000DB040000}"/>
    <cellStyle name="백분율 6" xfId="1245" xr:uid="{00000000-0005-0000-0000-0000DC040000}"/>
    <cellStyle name="백분율 7" xfId="1246" xr:uid="{00000000-0005-0000-0000-0000DD040000}"/>
    <cellStyle name="백분율 8" xfId="1247" xr:uid="{00000000-0005-0000-0000-0000DE040000}"/>
    <cellStyle name="백분율 9" xfId="1248" xr:uid="{00000000-0005-0000-0000-0000DF040000}"/>
    <cellStyle name="백분율［△1］" xfId="1249" xr:uid="{00000000-0005-0000-0000-0000E0040000}"/>
    <cellStyle name="백분율［△2］" xfId="1250" xr:uid="{00000000-0005-0000-0000-0000E1040000}"/>
    <cellStyle name="벭?_Q1 PRODUCT ACTUAL_4월 (2)" xfId="1251" xr:uid="{00000000-0005-0000-0000-0000E2040000}"/>
    <cellStyle name="보통 2" xfId="1252" xr:uid="{00000000-0005-0000-0000-0000E3040000}"/>
    <cellStyle name="뷭?" xfId="1253" xr:uid="{00000000-0005-0000-0000-0000E4040000}"/>
    <cellStyle name="빨강" xfId="1254" xr:uid="{00000000-0005-0000-0000-0000E5040000}"/>
    <cellStyle name="선택영역의 가운데로" xfId="1255" xr:uid="{00000000-0005-0000-0000-0000E6040000}"/>
    <cellStyle name="설계서" xfId="1256" xr:uid="{00000000-0005-0000-0000-0000E7040000}"/>
    <cellStyle name="설명 텍스트 2" xfId="1257" xr:uid="{00000000-0005-0000-0000-0000E8040000}"/>
    <cellStyle name="셀 확인 2" xfId="1258" xr:uid="{00000000-0005-0000-0000-0000E9040000}"/>
    <cellStyle name="소수" xfId="1259" xr:uid="{00000000-0005-0000-0000-0000EA040000}"/>
    <cellStyle name="소수3" xfId="1260" xr:uid="{00000000-0005-0000-0000-0000EB040000}"/>
    <cellStyle name="소수4" xfId="1261" xr:uid="{00000000-0005-0000-0000-0000EC040000}"/>
    <cellStyle name="소수점" xfId="1262" xr:uid="{00000000-0005-0000-0000-0000ED040000}"/>
    <cellStyle name="수당" xfId="1263" xr:uid="{00000000-0005-0000-0000-0000EE040000}"/>
    <cellStyle name="수당2" xfId="1264" xr:uid="{00000000-0005-0000-0000-0000EF040000}"/>
    <cellStyle name="수량" xfId="1265" xr:uid="{00000000-0005-0000-0000-0000F0040000}"/>
    <cellStyle name="숫자(R)" xfId="1266" xr:uid="{00000000-0005-0000-0000-0000F1040000}"/>
    <cellStyle name="쉼표 [0]" xfId="1267" builtinId="6"/>
    <cellStyle name="쉼표 [0] 2" xfId="1268" xr:uid="{00000000-0005-0000-0000-0000F3040000}"/>
    <cellStyle name="쉼표 [0] 2 2" xfId="1269" xr:uid="{00000000-0005-0000-0000-0000F4040000}"/>
    <cellStyle name="쉼표 [0] 2 2 2" xfId="1270" xr:uid="{00000000-0005-0000-0000-0000F5040000}"/>
    <cellStyle name="쉼표 [0] 2 3" xfId="1271" xr:uid="{00000000-0005-0000-0000-0000F6040000}"/>
    <cellStyle name="쉼표 [0] 2 4" xfId="1272" xr:uid="{00000000-0005-0000-0000-0000F7040000}"/>
    <cellStyle name="쉼표 [0] 3" xfId="1273" xr:uid="{00000000-0005-0000-0000-0000F8040000}"/>
    <cellStyle name="쉼표 [0] 3 2" xfId="1274" xr:uid="{00000000-0005-0000-0000-0000F9040000}"/>
    <cellStyle name="쉼표 [0] 4" xfId="1275" xr:uid="{00000000-0005-0000-0000-0000FA040000}"/>
    <cellStyle name="쉼표 [0] 4 2" xfId="1276" xr:uid="{00000000-0005-0000-0000-0000FB040000}"/>
    <cellStyle name="쉼표 [0] 5" xfId="1277" xr:uid="{00000000-0005-0000-0000-0000FC040000}"/>
    <cellStyle name="스타일 1" xfId="1278" xr:uid="{00000000-0005-0000-0000-0000FD040000}"/>
    <cellStyle name="스타일 1 2" xfId="1279" xr:uid="{00000000-0005-0000-0000-0000FE040000}"/>
    <cellStyle name="스타일 10" xfId="1280" xr:uid="{00000000-0005-0000-0000-0000FF040000}"/>
    <cellStyle name="스타일 11" xfId="1281" xr:uid="{00000000-0005-0000-0000-000000050000}"/>
    <cellStyle name="스타일 12" xfId="1282" xr:uid="{00000000-0005-0000-0000-000001050000}"/>
    <cellStyle name="스타일 13" xfId="1283" xr:uid="{00000000-0005-0000-0000-000002050000}"/>
    <cellStyle name="스타일 14" xfId="1284" xr:uid="{00000000-0005-0000-0000-000003050000}"/>
    <cellStyle name="스타일 15" xfId="1285" xr:uid="{00000000-0005-0000-0000-000004050000}"/>
    <cellStyle name="스타일 16" xfId="1286" xr:uid="{00000000-0005-0000-0000-000005050000}"/>
    <cellStyle name="스타일 17" xfId="1287" xr:uid="{00000000-0005-0000-0000-000006050000}"/>
    <cellStyle name="스타일 18" xfId="1288" xr:uid="{00000000-0005-0000-0000-000007050000}"/>
    <cellStyle name="스타일 19" xfId="1289" xr:uid="{00000000-0005-0000-0000-000008050000}"/>
    <cellStyle name="스타일 2" xfId="1290" xr:uid="{00000000-0005-0000-0000-000009050000}"/>
    <cellStyle name="스타일 2 2" xfId="1291" xr:uid="{00000000-0005-0000-0000-00000A050000}"/>
    <cellStyle name="스타일 20" xfId="1292" xr:uid="{00000000-0005-0000-0000-00000B050000}"/>
    <cellStyle name="스타일 21" xfId="1293" xr:uid="{00000000-0005-0000-0000-00000C050000}"/>
    <cellStyle name="스타일 22" xfId="1294" xr:uid="{00000000-0005-0000-0000-00000D050000}"/>
    <cellStyle name="스타일 23" xfId="1295" xr:uid="{00000000-0005-0000-0000-00000E050000}"/>
    <cellStyle name="스타일 24" xfId="1296" xr:uid="{00000000-0005-0000-0000-00000F050000}"/>
    <cellStyle name="스타일 25" xfId="1297" xr:uid="{00000000-0005-0000-0000-000010050000}"/>
    <cellStyle name="스타일 26" xfId="1298" xr:uid="{00000000-0005-0000-0000-000011050000}"/>
    <cellStyle name="스타일 27" xfId="1299" xr:uid="{00000000-0005-0000-0000-000012050000}"/>
    <cellStyle name="스타일 28" xfId="1300" xr:uid="{00000000-0005-0000-0000-000013050000}"/>
    <cellStyle name="스타일 29" xfId="1301" xr:uid="{00000000-0005-0000-0000-000014050000}"/>
    <cellStyle name="스타일 3" xfId="1302" xr:uid="{00000000-0005-0000-0000-000015050000}"/>
    <cellStyle name="스타일 30" xfId="1303" xr:uid="{00000000-0005-0000-0000-000016050000}"/>
    <cellStyle name="스타일 31" xfId="1304" xr:uid="{00000000-0005-0000-0000-000017050000}"/>
    <cellStyle name="스타일 32" xfId="1305" xr:uid="{00000000-0005-0000-0000-000018050000}"/>
    <cellStyle name="스타일 33" xfId="1306" xr:uid="{00000000-0005-0000-0000-000019050000}"/>
    <cellStyle name="스타일 34" xfId="1307" xr:uid="{00000000-0005-0000-0000-00001A050000}"/>
    <cellStyle name="스타일 35" xfId="1308" xr:uid="{00000000-0005-0000-0000-00001B050000}"/>
    <cellStyle name="스타일 36" xfId="1309" xr:uid="{00000000-0005-0000-0000-00001C050000}"/>
    <cellStyle name="스타일 37" xfId="1310" xr:uid="{00000000-0005-0000-0000-00001D050000}"/>
    <cellStyle name="스타일 38" xfId="1311" xr:uid="{00000000-0005-0000-0000-00001E050000}"/>
    <cellStyle name="스타일 39" xfId="1312" xr:uid="{00000000-0005-0000-0000-00001F050000}"/>
    <cellStyle name="스타일 4" xfId="1313" xr:uid="{00000000-0005-0000-0000-000020050000}"/>
    <cellStyle name="스타일 40" xfId="1314" xr:uid="{00000000-0005-0000-0000-000021050000}"/>
    <cellStyle name="스타일 41" xfId="1315" xr:uid="{00000000-0005-0000-0000-000022050000}"/>
    <cellStyle name="스타일 42" xfId="1316" xr:uid="{00000000-0005-0000-0000-000023050000}"/>
    <cellStyle name="스타일 43" xfId="1317" xr:uid="{00000000-0005-0000-0000-000024050000}"/>
    <cellStyle name="스타일 44" xfId="1318" xr:uid="{00000000-0005-0000-0000-000025050000}"/>
    <cellStyle name="스타일 45" xfId="1319" xr:uid="{00000000-0005-0000-0000-000026050000}"/>
    <cellStyle name="스타일 46" xfId="1320" xr:uid="{00000000-0005-0000-0000-000027050000}"/>
    <cellStyle name="스타일 47" xfId="1321" xr:uid="{00000000-0005-0000-0000-000028050000}"/>
    <cellStyle name="스타일 48" xfId="1322" xr:uid="{00000000-0005-0000-0000-000029050000}"/>
    <cellStyle name="스타일 49" xfId="1323" xr:uid="{00000000-0005-0000-0000-00002A050000}"/>
    <cellStyle name="스타일 5" xfId="1324" xr:uid="{00000000-0005-0000-0000-00002B050000}"/>
    <cellStyle name="스타일 50" xfId="1325" xr:uid="{00000000-0005-0000-0000-00002C050000}"/>
    <cellStyle name="스타일 51" xfId="1326" xr:uid="{00000000-0005-0000-0000-00002D050000}"/>
    <cellStyle name="스타일 52" xfId="1327" xr:uid="{00000000-0005-0000-0000-00002E050000}"/>
    <cellStyle name="스타일 53" xfId="1328" xr:uid="{00000000-0005-0000-0000-00002F050000}"/>
    <cellStyle name="스타일 54" xfId="1329" xr:uid="{00000000-0005-0000-0000-000030050000}"/>
    <cellStyle name="스타일 55" xfId="1330" xr:uid="{00000000-0005-0000-0000-000031050000}"/>
    <cellStyle name="스타일 6" xfId="1331" xr:uid="{00000000-0005-0000-0000-000032050000}"/>
    <cellStyle name="스타일 7" xfId="1332" xr:uid="{00000000-0005-0000-0000-000033050000}"/>
    <cellStyle name="스타일 8" xfId="1333" xr:uid="{00000000-0005-0000-0000-000034050000}"/>
    <cellStyle name="스타일 9" xfId="1334" xr:uid="{00000000-0005-0000-0000-000035050000}"/>
    <cellStyle name="안건회계법인" xfId="1335" xr:uid="{00000000-0005-0000-0000-000036050000}"/>
    <cellStyle name="연결된 셀 2" xfId="1336" xr:uid="{00000000-0005-0000-0000-000037050000}"/>
    <cellStyle name="요약 2" xfId="1337" xr:uid="{00000000-0005-0000-0000-000038050000}"/>
    <cellStyle name="원" xfId="1338" xr:uid="{00000000-0005-0000-0000-000039050000}"/>
    <cellStyle name="원_가월리배수펌프(04.23)" xfId="1339" xr:uid="{00000000-0005-0000-0000-00003A050000}"/>
    <cellStyle name="원_입찰내역서갑지양식" xfId="1340" xr:uid="{00000000-0005-0000-0000-00003B050000}"/>
    <cellStyle name="원_흥한건설(주)_두창산업폐기물(하도급)" xfId="1341" xr:uid="{00000000-0005-0000-0000-00003C050000}"/>
    <cellStyle name="유1" xfId="1342" xr:uid="{00000000-0005-0000-0000-00003D050000}"/>
    <cellStyle name="윤1" xfId="1343" xr:uid="{00000000-0005-0000-0000-00003E050000}"/>
    <cellStyle name="일위대가" xfId="1344" xr:uid="{00000000-0005-0000-0000-00003F050000}"/>
    <cellStyle name="입력 2" xfId="1345" xr:uid="{00000000-0005-0000-0000-000040050000}"/>
    <cellStyle name="자리수" xfId="1346" xr:uid="{00000000-0005-0000-0000-000041050000}"/>
    <cellStyle name="자리수 - 유형1" xfId="1347" xr:uid="{00000000-0005-0000-0000-000042050000}"/>
    <cellStyle name="자리수_거성토건도급계약내역(신일중고)" xfId="1348" xr:uid="{00000000-0005-0000-0000-000043050000}"/>
    <cellStyle name="자리수0" xfId="1349" xr:uid="{00000000-0005-0000-0000-000044050000}"/>
    <cellStyle name="제목 1 2" xfId="1350" xr:uid="{00000000-0005-0000-0000-000045050000}"/>
    <cellStyle name="제목 2 2" xfId="1351" xr:uid="{00000000-0005-0000-0000-000046050000}"/>
    <cellStyle name="제목 3 2" xfId="1352" xr:uid="{00000000-0005-0000-0000-000047050000}"/>
    <cellStyle name="제목 4 2" xfId="1353" xr:uid="{00000000-0005-0000-0000-000048050000}"/>
    <cellStyle name="제목 5" xfId="1354" xr:uid="{00000000-0005-0000-0000-000049050000}"/>
    <cellStyle name="좋음 2" xfId="1355" xr:uid="{00000000-0005-0000-0000-00004A050000}"/>
    <cellStyle name="지정되지 않음" xfId="1356" xr:uid="{00000000-0005-0000-0000-00004B050000}"/>
    <cellStyle name="출력 2" xfId="1357" xr:uid="{00000000-0005-0000-0000-00004C050000}"/>
    <cellStyle name="콤" xfId="1358" xr:uid="{00000000-0005-0000-0000-00004D050000}"/>
    <cellStyle name="콤_3.우수" xfId="1359" xr:uid="{00000000-0005-0000-0000-00004E050000}"/>
    <cellStyle name="콤_3.우수_1" xfId="1360" xr:uid="{00000000-0005-0000-0000-00004F050000}"/>
    <cellStyle name="콤_4.오수" xfId="1361" xr:uid="{00000000-0005-0000-0000-000050050000}"/>
    <cellStyle name="콤_거성토건도급계약내역(신일중고)" xfId="1362" xr:uid="{00000000-0005-0000-0000-000051050000}"/>
    <cellStyle name="콤_도로" xfId="1363" xr:uid="{00000000-0005-0000-0000-000052050000}"/>
    <cellStyle name="콤_부대초안" xfId="1364" xr:uid="{00000000-0005-0000-0000-000053050000}"/>
    <cellStyle name="콤_부대초안_견적의뢰" xfId="1365" xr:uid="{00000000-0005-0000-0000-000054050000}"/>
    <cellStyle name="콤_부대초안_김포투찰" xfId="1366" xr:uid="{00000000-0005-0000-0000-000055050000}"/>
    <cellStyle name="콤_부대초안_김포투찰_견적의뢰" xfId="1367" xr:uid="{00000000-0005-0000-0000-000056050000}"/>
    <cellStyle name="콤_실행예산" xfId="1368" xr:uid="{00000000-0005-0000-0000-000057050000}"/>
    <cellStyle name="콤_토목내역서" xfId="1369" xr:uid="{00000000-0005-0000-0000-000058050000}"/>
    <cellStyle name="콤_토목내역서_도로" xfId="1370" xr:uid="{00000000-0005-0000-0000-000059050000}"/>
    <cellStyle name="콤_토목내역서_부대초안" xfId="1371" xr:uid="{00000000-0005-0000-0000-00005A050000}"/>
    <cellStyle name="콤_토목내역서_부대초안_견적의뢰" xfId="1372" xr:uid="{00000000-0005-0000-0000-00005B050000}"/>
    <cellStyle name="콤_토목내역서_부대초안_김포투찰" xfId="1373" xr:uid="{00000000-0005-0000-0000-00005C050000}"/>
    <cellStyle name="콤_토목내역서_부대초안_김포투찰_견적의뢰" xfId="1374" xr:uid="{00000000-0005-0000-0000-00005D050000}"/>
    <cellStyle name="콤마" xfId="1375" xr:uid="{00000000-0005-0000-0000-00005E050000}"/>
    <cellStyle name="콤마 [" xfId="1376" xr:uid="{00000000-0005-0000-0000-00005F050000}"/>
    <cellStyle name="콤마 [#]" xfId="1377" xr:uid="{00000000-0005-0000-0000-000060050000}"/>
    <cellStyle name="콤마 []" xfId="1378" xr:uid="{00000000-0005-0000-0000-000061050000}"/>
    <cellStyle name="콤마 [_거성토건도급계약내역(신일중고)" xfId="1379" xr:uid="{00000000-0005-0000-0000-000062050000}"/>
    <cellStyle name="콤마 [0]" xfId="1380" xr:uid="{00000000-0005-0000-0000-000063050000}"/>
    <cellStyle name="콤마 [2]" xfId="1381" xr:uid="{00000000-0005-0000-0000-000064050000}"/>
    <cellStyle name="콤마 [2] 2" xfId="1382" xr:uid="{00000000-0005-0000-0000-000065050000}"/>
    <cellStyle name="콤마 [금액]" xfId="1383" xr:uid="{00000000-0005-0000-0000-000066050000}"/>
    <cellStyle name="콤마 [소수]" xfId="1384" xr:uid="{00000000-0005-0000-0000-000067050000}"/>
    <cellStyle name="콤마 [수량]" xfId="1385" xr:uid="{00000000-0005-0000-0000-000068050000}"/>
    <cellStyle name="콤마[ ]" xfId="1386" xr:uid="{00000000-0005-0000-0000-000069050000}"/>
    <cellStyle name="콤마[*]" xfId="1387" xr:uid="{00000000-0005-0000-0000-00006A050000}"/>
    <cellStyle name="콤마[.]" xfId="1388" xr:uid="{00000000-0005-0000-0000-00006B050000}"/>
    <cellStyle name="콤마[0]" xfId="1389" xr:uid="{00000000-0005-0000-0000-00006C050000}"/>
    <cellStyle name="콤마_   1997   " xfId="1390" xr:uid="{00000000-0005-0000-0000-00006D050000}"/>
    <cellStyle name="통" xfId="1391" xr:uid="{00000000-0005-0000-0000-00006E050000}"/>
    <cellStyle name="통_3.우수" xfId="1392" xr:uid="{00000000-0005-0000-0000-00006F050000}"/>
    <cellStyle name="통_3.우수_1" xfId="1393" xr:uid="{00000000-0005-0000-0000-000070050000}"/>
    <cellStyle name="통_4.오수" xfId="1394" xr:uid="{00000000-0005-0000-0000-000071050000}"/>
    <cellStyle name="통_거성토건도급계약내역(신일중고)" xfId="1395" xr:uid="{00000000-0005-0000-0000-000072050000}"/>
    <cellStyle name="통_도로" xfId="1396" xr:uid="{00000000-0005-0000-0000-000073050000}"/>
    <cellStyle name="통_부대초안" xfId="1397" xr:uid="{00000000-0005-0000-0000-000074050000}"/>
    <cellStyle name="통_부대초안_견적의뢰" xfId="1398" xr:uid="{00000000-0005-0000-0000-000075050000}"/>
    <cellStyle name="통_부대초안_김포투찰" xfId="1399" xr:uid="{00000000-0005-0000-0000-000076050000}"/>
    <cellStyle name="통_부대초안_김포투찰_견적의뢰" xfId="1400" xr:uid="{00000000-0005-0000-0000-000077050000}"/>
    <cellStyle name="통_실행예산" xfId="1401" xr:uid="{00000000-0005-0000-0000-000078050000}"/>
    <cellStyle name="통_토목내역서" xfId="1402" xr:uid="{00000000-0005-0000-0000-000079050000}"/>
    <cellStyle name="통_토목내역서_도로" xfId="1403" xr:uid="{00000000-0005-0000-0000-00007A050000}"/>
    <cellStyle name="통_토목내역서_부대초안" xfId="1404" xr:uid="{00000000-0005-0000-0000-00007B050000}"/>
    <cellStyle name="통_토목내역서_부대초안_견적의뢰" xfId="1405" xr:uid="{00000000-0005-0000-0000-00007C050000}"/>
    <cellStyle name="통_토목내역서_부대초안_김포투찰" xfId="1406" xr:uid="{00000000-0005-0000-0000-00007D050000}"/>
    <cellStyle name="통_토목내역서_부대초안_김포투찰_견적의뢰" xfId="1407" xr:uid="{00000000-0005-0000-0000-00007E050000}"/>
    <cellStyle name="통화 [" xfId="1408" xr:uid="{00000000-0005-0000-0000-00007F050000}"/>
    <cellStyle name="통화 [0] 2" xfId="1409" xr:uid="{00000000-0005-0000-0000-000080050000}"/>
    <cellStyle name="통화 [0] 3" xfId="1410" xr:uid="{00000000-0005-0000-0000-000081050000}"/>
    <cellStyle name="퍼센트" xfId="1411" xr:uid="{00000000-0005-0000-0000-000082050000}"/>
    <cellStyle name="표" xfId="1412" xr:uid="{00000000-0005-0000-0000-000083050000}"/>
    <cellStyle name="표_3.우수" xfId="1413" xr:uid="{00000000-0005-0000-0000-000084050000}"/>
    <cellStyle name="표_3.우수_1" xfId="1414" xr:uid="{00000000-0005-0000-0000-000085050000}"/>
    <cellStyle name="표_4.오수" xfId="1415" xr:uid="{00000000-0005-0000-0000-000086050000}"/>
    <cellStyle name="표_거성토건도급계약내역(신일중고)" xfId="1416" xr:uid="{00000000-0005-0000-0000-000087050000}"/>
    <cellStyle name="표_도로" xfId="1417" xr:uid="{00000000-0005-0000-0000-000088050000}"/>
    <cellStyle name="표_부대초안" xfId="1418" xr:uid="{00000000-0005-0000-0000-000089050000}"/>
    <cellStyle name="표_부대초안_견적의뢰" xfId="1419" xr:uid="{00000000-0005-0000-0000-00008A050000}"/>
    <cellStyle name="표_부대초안_김포투찰" xfId="1420" xr:uid="{00000000-0005-0000-0000-00008B050000}"/>
    <cellStyle name="표_부대초안_김포투찰_견적의뢰" xfId="1421" xr:uid="{00000000-0005-0000-0000-00008C050000}"/>
    <cellStyle name="표_실행예산" xfId="1422" xr:uid="{00000000-0005-0000-0000-00008D050000}"/>
    <cellStyle name="표_토목내역서" xfId="1423" xr:uid="{00000000-0005-0000-0000-00008E050000}"/>
    <cellStyle name="표_토목내역서_도로" xfId="1424" xr:uid="{00000000-0005-0000-0000-00008F050000}"/>
    <cellStyle name="표_토목내역서_부대초안" xfId="1425" xr:uid="{00000000-0005-0000-0000-000090050000}"/>
    <cellStyle name="표_토목내역서_부대초안_견적의뢰" xfId="1426" xr:uid="{00000000-0005-0000-0000-000091050000}"/>
    <cellStyle name="표_토목내역서_부대초안_김포투찰" xfId="1427" xr:uid="{00000000-0005-0000-0000-000092050000}"/>
    <cellStyle name="표_토목내역서_부대초안_김포투찰_견적의뢰" xfId="1428" xr:uid="{00000000-0005-0000-0000-000093050000}"/>
    <cellStyle name="표준" xfId="0" builtinId="0"/>
    <cellStyle name="표준 10" xfId="1429" xr:uid="{00000000-0005-0000-0000-000095050000}"/>
    <cellStyle name="표준 11" xfId="1430" xr:uid="{00000000-0005-0000-0000-000096050000}"/>
    <cellStyle name="표준 12" xfId="1431" xr:uid="{00000000-0005-0000-0000-000097050000}"/>
    <cellStyle name="표준 13" xfId="1432" xr:uid="{00000000-0005-0000-0000-000098050000}"/>
    <cellStyle name="표준 14" xfId="1433" xr:uid="{00000000-0005-0000-0000-000099050000}"/>
    <cellStyle name="표준 15" xfId="1434" xr:uid="{00000000-0005-0000-0000-00009A050000}"/>
    <cellStyle name="표준 16" xfId="1435" xr:uid="{00000000-0005-0000-0000-00009B050000}"/>
    <cellStyle name="표준 2" xfId="1436" xr:uid="{00000000-0005-0000-0000-00009C050000}"/>
    <cellStyle name="표준 2 2" xfId="1437" xr:uid="{00000000-0005-0000-0000-00009D050000}"/>
    <cellStyle name="표준 2 2 2" xfId="1438" xr:uid="{00000000-0005-0000-0000-00009E050000}"/>
    <cellStyle name="표준 2 2 3" xfId="1439" xr:uid="{00000000-0005-0000-0000-00009F050000}"/>
    <cellStyle name="표준 2 3" xfId="1440" xr:uid="{00000000-0005-0000-0000-0000A0050000}"/>
    <cellStyle name="표준 2 4" xfId="1441" xr:uid="{00000000-0005-0000-0000-0000A1050000}"/>
    <cellStyle name="표준 2 6" xfId="1442" xr:uid="{00000000-0005-0000-0000-0000A2050000}"/>
    <cellStyle name="표준 2_G-2빌딩(홈스웰)" xfId="1443" xr:uid="{00000000-0005-0000-0000-0000A3050000}"/>
    <cellStyle name="표준 3" xfId="1444" xr:uid="{00000000-0005-0000-0000-0000A4050000}"/>
    <cellStyle name="표준 3 2" xfId="1445" xr:uid="{00000000-0005-0000-0000-0000A5050000}"/>
    <cellStyle name="표준 3 2 2" xfId="1446" xr:uid="{00000000-0005-0000-0000-0000A6050000}"/>
    <cellStyle name="표준 3 3" xfId="1447" xr:uid="{00000000-0005-0000-0000-0000A7050000}"/>
    <cellStyle name="표준 3 4" xfId="1448" xr:uid="{00000000-0005-0000-0000-0000A8050000}"/>
    <cellStyle name="표준 3_개나리13단지  프리액션 타견적(대양,홈스웰)131205" xfId="1449" xr:uid="{00000000-0005-0000-0000-0000A9050000}"/>
    <cellStyle name="표준 4" xfId="1450" xr:uid="{00000000-0005-0000-0000-0000AA050000}"/>
    <cellStyle name="표준 4 2" xfId="1451" xr:uid="{00000000-0005-0000-0000-0000AB050000}"/>
    <cellStyle name="표준 4 3" xfId="1452" xr:uid="{00000000-0005-0000-0000-0000AC050000}"/>
    <cellStyle name="표준 4 4" xfId="1453" xr:uid="{00000000-0005-0000-0000-0000AD050000}"/>
    <cellStyle name="표준 5" xfId="1454" xr:uid="{00000000-0005-0000-0000-0000AE050000}"/>
    <cellStyle name="표준 5 2" xfId="1455" xr:uid="{00000000-0005-0000-0000-0000AF050000}"/>
    <cellStyle name="표준 5 3" xfId="1456" xr:uid="{00000000-0005-0000-0000-0000B0050000}"/>
    <cellStyle name="표준 6" xfId="1457" xr:uid="{00000000-0005-0000-0000-0000B1050000}"/>
    <cellStyle name="표준 6 2" xfId="1458" xr:uid="{00000000-0005-0000-0000-0000B2050000}"/>
    <cellStyle name="표준 7" xfId="1459" xr:uid="{00000000-0005-0000-0000-0000B3050000}"/>
    <cellStyle name="표준 7 2" xfId="1460" xr:uid="{00000000-0005-0000-0000-0000B4050000}"/>
    <cellStyle name="표준 8" xfId="1461" xr:uid="{00000000-0005-0000-0000-0000B5050000}"/>
    <cellStyle name="표준 8 2" xfId="1462" xr:uid="{00000000-0005-0000-0000-0000B6050000}"/>
    <cellStyle name="표준 9" xfId="1463" xr:uid="{00000000-0005-0000-0000-0000B7050000}"/>
    <cellStyle name="標準_Akia(F）-8" xfId="1464" xr:uid="{00000000-0005-0000-0000-0000B8050000}"/>
    <cellStyle name="합산" xfId="1465" xr:uid="{00000000-0005-0000-0000-0000B9050000}"/>
    <cellStyle name="화폐기호" xfId="1466" xr:uid="{00000000-0005-0000-0000-0000BA050000}"/>
    <cellStyle name="화폐기호0" xfId="1467" xr:uid="{00000000-0005-0000-0000-0000BB050000}"/>
    <cellStyle name="ㅣ" xfId="1468" xr:uid="{00000000-0005-0000-0000-0000BC050000}"/>
  </cellStyles>
  <dxfs count="0"/>
  <tableStyles count="0" defaultTableStyle="TableStyleMedium9" defaultPivotStyle="PivotStyleLight16"/>
  <colors>
    <mruColors>
      <color rgb="FF0000FF"/>
      <color rgb="FFFED0E2"/>
      <color rgb="FFF7BBEE"/>
      <color rgb="FF99FF66"/>
      <color rgb="FFFF7C80"/>
      <color rgb="FFFCC0B6"/>
      <color rgb="FFFDC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257175</xdr:colOff>
      <xdr:row>6</xdr:row>
      <xdr:rowOff>276225</xdr:rowOff>
    </xdr:from>
    <xdr:to>
      <xdr:col>26</xdr:col>
      <xdr:colOff>202406</xdr:colOff>
      <xdr:row>8</xdr:row>
      <xdr:rowOff>142875</xdr:rowOff>
    </xdr:to>
    <xdr:pic>
      <xdr:nvPicPr>
        <xdr:cNvPr id="61540" name="_x58740712" descr="EMB000022402b95">
          <a:extLst>
            <a:ext uri="{FF2B5EF4-FFF2-40B4-BE49-F238E27FC236}">
              <a16:creationId xmlns:a16="http://schemas.microsoft.com/office/drawing/2014/main" id="{00000000-0008-0000-0100-000064F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0FF"/>
            </a:clrFrom>
            <a:clrTo>
              <a:srgbClr val="FFF0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0363" y="2776538"/>
          <a:ext cx="683418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200025</xdr:colOff>
      <xdr:row>1</xdr:row>
      <xdr:rowOff>590550</xdr:rowOff>
    </xdr:from>
    <xdr:to>
      <xdr:col>20</xdr:col>
      <xdr:colOff>247650</xdr:colOff>
      <xdr:row>1</xdr:row>
      <xdr:rowOff>590550</xdr:rowOff>
    </xdr:to>
    <xdr:cxnSp macro="">
      <xdr:nvCxnSpPr>
        <xdr:cNvPr id="61541" name="직선 연결선 3">
          <a:extLst>
            <a:ext uri="{FF2B5EF4-FFF2-40B4-BE49-F238E27FC236}">
              <a16:creationId xmlns:a16="http://schemas.microsoft.com/office/drawing/2014/main" id="{00000000-0008-0000-0100-000065F00000}"/>
            </a:ext>
          </a:extLst>
        </xdr:cNvPr>
        <xdr:cNvCxnSpPr>
          <a:cxnSpLocks noChangeShapeType="1"/>
        </xdr:cNvCxnSpPr>
      </xdr:nvCxnSpPr>
      <xdr:spPr bwMode="auto">
        <a:xfrm>
          <a:off x="2638425" y="1019175"/>
          <a:ext cx="5562600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200025</xdr:colOff>
      <xdr:row>2</xdr:row>
      <xdr:rowOff>28575</xdr:rowOff>
    </xdr:from>
    <xdr:to>
      <xdr:col>20</xdr:col>
      <xdr:colOff>247650</xdr:colOff>
      <xdr:row>2</xdr:row>
      <xdr:rowOff>28575</xdr:rowOff>
    </xdr:to>
    <xdr:cxnSp macro="">
      <xdr:nvCxnSpPr>
        <xdr:cNvPr id="61542" name="직선 연결선 4">
          <a:extLst>
            <a:ext uri="{FF2B5EF4-FFF2-40B4-BE49-F238E27FC236}">
              <a16:creationId xmlns:a16="http://schemas.microsoft.com/office/drawing/2014/main" id="{00000000-0008-0000-0100-000066F00000}"/>
            </a:ext>
          </a:extLst>
        </xdr:cNvPr>
        <xdr:cNvCxnSpPr>
          <a:cxnSpLocks noChangeShapeType="1"/>
        </xdr:cNvCxnSpPr>
      </xdr:nvCxnSpPr>
      <xdr:spPr bwMode="auto">
        <a:xfrm>
          <a:off x="2638425" y="1076325"/>
          <a:ext cx="5562600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19</xdr:col>
      <xdr:colOff>107153</xdr:colOff>
      <xdr:row>4</xdr:row>
      <xdr:rowOff>59530</xdr:rowOff>
    </xdr:from>
    <xdr:to>
      <xdr:col>27</xdr:col>
      <xdr:colOff>23809</xdr:colOff>
      <xdr:row>5</xdr:row>
      <xdr:rowOff>211237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00000000-0008-0000-0100-000063F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0966" y="2333624"/>
          <a:ext cx="3512343" cy="401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895350</xdr:colOff>
      <xdr:row>0</xdr:row>
      <xdr:rowOff>57150</xdr:rowOff>
    </xdr:from>
    <xdr:to>
      <xdr:col>6</xdr:col>
      <xdr:colOff>1285875</xdr:colOff>
      <xdr:row>1</xdr:row>
      <xdr:rowOff>9525</xdr:rowOff>
    </xdr:to>
    <xdr:pic>
      <xdr:nvPicPr>
        <xdr:cNvPr id="60640" name="그림 1">
          <a:extLst>
            <a:ext uri="{FF2B5EF4-FFF2-40B4-BE49-F238E27FC236}">
              <a16:creationId xmlns:a16="http://schemas.microsoft.com/office/drawing/2014/main" id="{00000000-0008-0000-0200-0000E0E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7150"/>
          <a:ext cx="1743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152400</xdr:colOff>
      <xdr:row>0</xdr:row>
      <xdr:rowOff>419100</xdr:rowOff>
    </xdr:from>
    <xdr:to>
      <xdr:col>5</xdr:col>
      <xdr:colOff>762000</xdr:colOff>
      <xdr:row>0</xdr:row>
      <xdr:rowOff>419100</xdr:rowOff>
    </xdr:to>
    <xdr:cxnSp macro="">
      <xdr:nvCxnSpPr>
        <xdr:cNvPr id="60641" name="직선 연결선 4">
          <a:extLst>
            <a:ext uri="{FF2B5EF4-FFF2-40B4-BE49-F238E27FC236}">
              <a16:creationId xmlns:a16="http://schemas.microsoft.com/office/drawing/2014/main" id="{00000000-0008-0000-0200-0000E1EC0000}"/>
            </a:ext>
          </a:extLst>
        </xdr:cNvPr>
        <xdr:cNvCxnSpPr>
          <a:cxnSpLocks noChangeShapeType="1"/>
        </xdr:cNvCxnSpPr>
      </xdr:nvCxnSpPr>
      <xdr:spPr bwMode="auto">
        <a:xfrm>
          <a:off x="1857375" y="419100"/>
          <a:ext cx="3886200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152400</xdr:colOff>
      <xdr:row>1</xdr:row>
      <xdr:rowOff>9525</xdr:rowOff>
    </xdr:from>
    <xdr:to>
      <xdr:col>5</xdr:col>
      <xdr:colOff>762000</xdr:colOff>
      <xdr:row>1</xdr:row>
      <xdr:rowOff>9525</xdr:rowOff>
    </xdr:to>
    <xdr:cxnSp macro="">
      <xdr:nvCxnSpPr>
        <xdr:cNvPr id="60642" name="직선 연결선 7">
          <a:extLst>
            <a:ext uri="{FF2B5EF4-FFF2-40B4-BE49-F238E27FC236}">
              <a16:creationId xmlns:a16="http://schemas.microsoft.com/office/drawing/2014/main" id="{00000000-0008-0000-0200-0000E2EC0000}"/>
            </a:ext>
          </a:extLst>
        </xdr:cNvPr>
        <xdr:cNvCxnSpPr>
          <a:cxnSpLocks noChangeShapeType="1"/>
        </xdr:cNvCxnSpPr>
      </xdr:nvCxnSpPr>
      <xdr:spPr bwMode="auto">
        <a:xfrm>
          <a:off x="1857375" y="457200"/>
          <a:ext cx="3886200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1657350</xdr:colOff>
      <xdr:row>0</xdr:row>
      <xdr:rowOff>104775</xdr:rowOff>
    </xdr:from>
    <xdr:to>
      <xdr:col>4</xdr:col>
      <xdr:colOff>762000</xdr:colOff>
      <xdr:row>0</xdr:row>
      <xdr:rowOff>495300</xdr:rowOff>
    </xdr:to>
    <xdr:pic>
      <xdr:nvPicPr>
        <xdr:cNvPr id="40157" name="그림 1">
          <a:extLst>
            <a:ext uri="{FF2B5EF4-FFF2-40B4-BE49-F238E27FC236}">
              <a16:creationId xmlns:a16="http://schemas.microsoft.com/office/drawing/2014/main" id="{00000000-0008-0000-0300-0000DD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04775"/>
          <a:ext cx="10477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900397</xdr:colOff>
      <xdr:row>0</xdr:row>
      <xdr:rowOff>47625</xdr:rowOff>
    </xdr:from>
    <xdr:to>
      <xdr:col>5</xdr:col>
      <xdr:colOff>934576</xdr:colOff>
      <xdr:row>0</xdr:row>
      <xdr:rowOff>342900</xdr:rowOff>
    </xdr:to>
    <xdr:pic>
      <xdr:nvPicPr>
        <xdr:cNvPr id="48354" name="그림 2">
          <a:extLst>
            <a:ext uri="{FF2B5EF4-FFF2-40B4-BE49-F238E27FC236}">
              <a16:creationId xmlns:a16="http://schemas.microsoft.com/office/drawing/2014/main" id="{00000000-0008-0000-0400-0000E2B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721" y="47625"/>
          <a:ext cx="104270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2F0D54-83EA-4A8F-BB96-C17384BADB72}">
  <we:reference id="wa200009404" version="1.0.0.8" store="ko-K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7" zoomScaleSheetLayoutView="4" workbookViewId="0"/>
  </sheetViews>
  <sheetFormatPr defaultRowHeight="13.5"/>
  <sheetData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"/>
  <sheetViews>
    <sheetView showGridLines="0" tabSelected="1" zoomScale="70" zoomScaleNormal="70" zoomScalePageLayoutView="55" workbookViewId="0">
      <selection activeCell="AH9" sqref="AH9"/>
    </sheetView>
  </sheetViews>
  <sheetFormatPr defaultRowHeight="13.5"/>
  <cols>
    <col min="1" max="1" width="2.77734375" style="113" customWidth="1"/>
    <col min="2" max="2" width="0.88671875" style="113" customWidth="1"/>
    <col min="3" max="3" width="5.77734375" style="113" customWidth="1"/>
    <col min="4" max="5" width="5.6640625" style="113" customWidth="1"/>
    <col min="6" max="17" width="4.77734375" style="113" customWidth="1"/>
    <col min="18" max="19" width="5.88671875" style="113" customWidth="1"/>
    <col min="20" max="23" width="4.77734375" style="113" customWidth="1"/>
    <col min="24" max="25" width="5.88671875" style="113" customWidth="1"/>
    <col min="26" max="26" width="8.5546875" style="113" customWidth="1"/>
    <col min="27" max="27" width="2.77734375" style="113" bestFit="1" customWidth="1"/>
    <col min="28" max="28" width="2.77734375" style="113" customWidth="1"/>
    <col min="29" max="16384" width="8.88671875" style="113"/>
  </cols>
  <sheetData>
    <row r="1" spans="1:28" ht="33.75" customHeight="1">
      <c r="A1" s="294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6"/>
    </row>
    <row r="2" spans="1:28" s="106" customFormat="1" ht="48.75">
      <c r="A2" s="222" t="s">
        <v>140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114"/>
    </row>
    <row r="3" spans="1:28" s="106" customFormat="1" ht="39.75" customHeight="1">
      <c r="A3" s="236" t="s">
        <v>197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8"/>
    </row>
    <row r="4" spans="1:28" s="106" customFormat="1" ht="39.75" customHeight="1">
      <c r="A4" s="297" t="s">
        <v>160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115"/>
    </row>
    <row r="5" spans="1:28" s="106" customFormat="1" ht="20.100000000000001" customHeight="1">
      <c r="A5" s="116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231" t="s">
        <v>171</v>
      </c>
      <c r="N5" s="231"/>
      <c r="O5" s="231"/>
      <c r="P5" s="231"/>
      <c r="Q5" s="231"/>
      <c r="R5" s="231"/>
      <c r="S5" s="231"/>
      <c r="T5" s="117"/>
      <c r="U5" s="117"/>
      <c r="V5" s="117"/>
      <c r="W5" s="117"/>
      <c r="X5" s="117"/>
      <c r="Y5" s="117"/>
      <c r="Z5" s="117"/>
      <c r="AA5" s="117"/>
      <c r="AB5" s="114"/>
    </row>
    <row r="6" spans="1:28" s="106" customFormat="1" ht="18" customHeight="1" thickBot="1">
      <c r="A6" s="116"/>
      <c r="C6" s="118"/>
      <c r="D6" s="113"/>
      <c r="E6" s="113"/>
      <c r="F6" s="113"/>
      <c r="G6" s="113"/>
      <c r="H6" s="117"/>
      <c r="I6" s="113"/>
      <c r="J6" s="113"/>
      <c r="K6" s="113"/>
      <c r="L6" s="113"/>
      <c r="M6" s="232"/>
      <c r="N6" s="232"/>
      <c r="O6" s="232"/>
      <c r="P6" s="232"/>
      <c r="Q6" s="232"/>
      <c r="R6" s="232"/>
      <c r="S6" s="232"/>
      <c r="T6" s="113"/>
      <c r="U6" s="113"/>
      <c r="V6" s="113"/>
      <c r="W6" s="224"/>
      <c r="X6" s="224"/>
      <c r="Y6" s="224"/>
      <c r="Z6" s="224"/>
      <c r="AA6" s="224"/>
      <c r="AB6" s="114"/>
    </row>
    <row r="7" spans="1:28" s="106" customFormat="1" ht="32.1" customHeight="1">
      <c r="A7" s="119"/>
      <c r="B7" s="120"/>
      <c r="C7" s="107" t="s">
        <v>152</v>
      </c>
      <c r="D7" s="107"/>
      <c r="E7" s="299" t="s">
        <v>184</v>
      </c>
      <c r="F7" s="300"/>
      <c r="G7" s="300"/>
      <c r="H7" s="300"/>
      <c r="I7" s="300"/>
      <c r="J7" s="300"/>
      <c r="K7" s="107"/>
      <c r="L7" s="121"/>
      <c r="M7" s="190" t="s">
        <v>115</v>
      </c>
      <c r="N7" s="225" t="s">
        <v>116</v>
      </c>
      <c r="O7" s="226"/>
      <c r="P7" s="227"/>
      <c r="Q7" s="228" t="s">
        <v>139</v>
      </c>
      <c r="R7" s="229"/>
      <c r="S7" s="229"/>
      <c r="T7" s="229"/>
      <c r="U7" s="229"/>
      <c r="V7" s="229"/>
      <c r="W7" s="229"/>
      <c r="X7" s="229"/>
      <c r="Y7" s="229"/>
      <c r="Z7" s="229"/>
      <c r="AA7" s="230"/>
      <c r="AB7" s="114"/>
    </row>
    <row r="8" spans="1:28" s="106" customFormat="1" ht="32.1" customHeight="1">
      <c r="A8" s="119"/>
      <c r="B8" s="120"/>
      <c r="C8" s="107" t="s">
        <v>151</v>
      </c>
      <c r="D8" s="107"/>
      <c r="E8" s="235" t="s">
        <v>183</v>
      </c>
      <c r="F8" s="235"/>
      <c r="G8" s="235"/>
      <c r="H8" s="235"/>
      <c r="I8" s="235"/>
      <c r="J8" s="107"/>
      <c r="K8" s="107"/>
      <c r="L8" s="121"/>
      <c r="M8" s="191"/>
      <c r="N8" s="193" t="s">
        <v>107</v>
      </c>
      <c r="O8" s="194"/>
      <c r="P8" s="195"/>
      <c r="Q8" s="220" t="s">
        <v>108</v>
      </c>
      <c r="R8" s="221"/>
      <c r="S8" s="221"/>
      <c r="T8" s="221"/>
      <c r="U8" s="233" t="s">
        <v>109</v>
      </c>
      <c r="V8" s="194"/>
      <c r="W8" s="195"/>
      <c r="X8" s="220" t="s">
        <v>110</v>
      </c>
      <c r="Y8" s="221"/>
      <c r="Z8" s="221"/>
      <c r="AA8" s="234"/>
      <c r="AB8" s="114"/>
    </row>
    <row r="9" spans="1:28" s="106" customFormat="1" ht="32.1" customHeight="1">
      <c r="A9" s="119"/>
      <c r="B9" s="120"/>
      <c r="C9" s="107" t="s">
        <v>111</v>
      </c>
      <c r="D9" s="107"/>
      <c r="E9" s="107" t="s">
        <v>117</v>
      </c>
      <c r="F9" s="107"/>
      <c r="G9" s="107"/>
      <c r="H9" s="107"/>
      <c r="I9" s="107"/>
      <c r="J9" s="108"/>
      <c r="K9" s="108"/>
      <c r="L9" s="122"/>
      <c r="M9" s="191"/>
      <c r="N9" s="193" t="s">
        <v>112</v>
      </c>
      <c r="O9" s="194"/>
      <c r="P9" s="195"/>
      <c r="Q9" s="220" t="s">
        <v>159</v>
      </c>
      <c r="R9" s="221"/>
      <c r="S9" s="221"/>
      <c r="T9" s="221"/>
      <c r="U9" s="221"/>
      <c r="V9" s="221"/>
      <c r="W9" s="221"/>
      <c r="X9" s="221"/>
      <c r="Y9" s="221"/>
      <c r="Z9" s="221"/>
      <c r="AA9" s="234"/>
      <c r="AB9" s="114"/>
    </row>
    <row r="10" spans="1:28" s="106" customFormat="1" ht="32.1" customHeight="1">
      <c r="A10" s="119"/>
      <c r="B10" s="120"/>
      <c r="C10" s="107" t="s">
        <v>161</v>
      </c>
      <c r="D10" s="107"/>
      <c r="E10" s="107"/>
      <c r="F10" s="107" t="s">
        <v>162</v>
      </c>
      <c r="G10" s="107"/>
      <c r="H10" s="107"/>
      <c r="I10" s="107"/>
      <c r="J10" s="107"/>
      <c r="K10" s="107"/>
      <c r="L10" s="107"/>
      <c r="M10" s="191"/>
      <c r="N10" s="199" t="s">
        <v>113</v>
      </c>
      <c r="O10" s="186"/>
      <c r="P10" s="187"/>
      <c r="Q10" s="188" t="s">
        <v>114</v>
      </c>
      <c r="R10" s="189"/>
      <c r="S10" s="189"/>
      <c r="T10" s="189"/>
      <c r="U10" s="185" t="s">
        <v>100</v>
      </c>
      <c r="V10" s="186"/>
      <c r="W10" s="187"/>
      <c r="X10" s="174" t="s">
        <v>118</v>
      </c>
      <c r="Y10" s="175"/>
      <c r="Z10" s="175"/>
      <c r="AA10" s="176"/>
      <c r="AB10" s="114"/>
    </row>
    <row r="11" spans="1:28" s="106" customFormat="1" ht="32.1" customHeight="1">
      <c r="A11" s="119"/>
      <c r="B11" s="120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91"/>
      <c r="N11" s="199" t="s">
        <v>164</v>
      </c>
      <c r="O11" s="186"/>
      <c r="P11" s="187"/>
      <c r="Q11" s="188" t="s">
        <v>198</v>
      </c>
      <c r="R11" s="189"/>
      <c r="S11" s="189"/>
      <c r="T11" s="203"/>
      <c r="U11" s="207" t="s">
        <v>199</v>
      </c>
      <c r="V11" s="208"/>
      <c r="W11" s="209"/>
      <c r="X11" s="174" t="s">
        <v>201</v>
      </c>
      <c r="Y11" s="175"/>
      <c r="Z11" s="175"/>
      <c r="AA11" s="176"/>
      <c r="AB11" s="114"/>
    </row>
    <row r="12" spans="1:28" s="106" customFormat="1" ht="32.1" customHeight="1" thickBot="1">
      <c r="A12" s="119" t="s">
        <v>163</v>
      </c>
      <c r="B12" s="120"/>
      <c r="C12" s="123"/>
      <c r="D12" s="124"/>
      <c r="E12" s="124"/>
      <c r="F12" s="304"/>
      <c r="G12" s="304"/>
      <c r="H12" s="304"/>
      <c r="I12" s="304"/>
      <c r="J12" s="304"/>
      <c r="K12" s="125"/>
      <c r="L12" s="126"/>
      <c r="M12" s="192"/>
      <c r="N12" s="200"/>
      <c r="O12" s="201"/>
      <c r="P12" s="202"/>
      <c r="Q12" s="204"/>
      <c r="R12" s="205"/>
      <c r="S12" s="205"/>
      <c r="T12" s="206"/>
      <c r="U12" s="217" t="s">
        <v>200</v>
      </c>
      <c r="V12" s="218"/>
      <c r="W12" s="219"/>
      <c r="X12" s="174" t="s">
        <v>202</v>
      </c>
      <c r="Y12" s="175"/>
      <c r="Z12" s="175"/>
      <c r="AA12" s="176"/>
      <c r="AB12" s="114"/>
    </row>
    <row r="13" spans="1:28" s="106" customFormat="1" ht="20.100000000000001" customHeight="1">
      <c r="A13" s="119" t="s">
        <v>119</v>
      </c>
      <c r="B13" s="120"/>
      <c r="C13" s="123"/>
      <c r="D13" s="124"/>
      <c r="E13" s="124"/>
      <c r="F13" s="304"/>
      <c r="G13" s="304"/>
      <c r="H13" s="304"/>
      <c r="I13" s="304"/>
      <c r="J13" s="304"/>
      <c r="K13" s="125"/>
      <c r="L13" s="125"/>
      <c r="M13" s="127"/>
      <c r="N13" s="183"/>
      <c r="O13" s="183"/>
      <c r="P13" s="183"/>
      <c r="Q13" s="184"/>
      <c r="R13" s="184"/>
      <c r="S13" s="184"/>
      <c r="T13" s="184"/>
      <c r="U13" s="183"/>
      <c r="V13" s="183"/>
      <c r="W13" s="183"/>
      <c r="X13" s="184"/>
      <c r="Y13" s="184"/>
      <c r="Z13" s="184"/>
      <c r="AA13" s="184"/>
      <c r="AB13" s="114"/>
    </row>
    <row r="14" spans="1:28" s="106" customFormat="1" ht="35.1" customHeight="1">
      <c r="A14" s="116"/>
      <c r="B14" s="128"/>
      <c r="C14" s="129"/>
      <c r="D14" s="239" t="s">
        <v>242</v>
      </c>
      <c r="E14" s="178"/>
      <c r="F14" s="178"/>
      <c r="G14" s="178"/>
      <c r="H14" s="180"/>
      <c r="I14" s="100"/>
      <c r="J14" s="305" t="s">
        <v>183</v>
      </c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6"/>
      <c r="AB14" s="130"/>
    </row>
    <row r="15" spans="1:28" s="133" customFormat="1" ht="35.1" customHeight="1">
      <c r="A15" s="131"/>
      <c r="B15" s="132"/>
      <c r="C15" s="129"/>
      <c r="D15" s="239" t="s">
        <v>243</v>
      </c>
      <c r="E15" s="178"/>
      <c r="F15" s="178"/>
      <c r="G15" s="178"/>
      <c r="H15" s="180"/>
      <c r="I15" s="100"/>
      <c r="J15" s="214" t="s">
        <v>185</v>
      </c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6"/>
      <c r="AB15" s="130"/>
    </row>
    <row r="16" spans="1:28" s="133" customFormat="1" ht="35.1" customHeight="1">
      <c r="A16" s="131"/>
      <c r="B16" s="132"/>
      <c r="C16" s="129"/>
      <c r="D16" s="239" t="s">
        <v>244</v>
      </c>
      <c r="E16" s="178"/>
      <c r="F16" s="178"/>
      <c r="G16" s="178"/>
      <c r="H16" s="180"/>
      <c r="I16" s="100"/>
      <c r="J16" s="214" t="s">
        <v>186</v>
      </c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6"/>
      <c r="AB16" s="130"/>
    </row>
    <row r="17" spans="1:28" s="133" customFormat="1" ht="39.950000000000003" customHeight="1">
      <c r="A17" s="131"/>
      <c r="B17" s="132"/>
      <c r="C17" s="129"/>
      <c r="D17" s="239" t="s">
        <v>245</v>
      </c>
      <c r="E17" s="178"/>
      <c r="F17" s="178"/>
      <c r="G17" s="178"/>
      <c r="H17" s="180"/>
      <c r="I17" s="100"/>
      <c r="J17" s="177" t="s">
        <v>187</v>
      </c>
      <c r="K17" s="178"/>
      <c r="L17" s="178"/>
      <c r="M17" s="178"/>
      <c r="N17" s="178"/>
      <c r="O17" s="178"/>
      <c r="P17" s="178"/>
      <c r="Q17" s="178"/>
      <c r="R17" s="179" t="s">
        <v>239</v>
      </c>
      <c r="S17" s="178"/>
      <c r="T17" s="178"/>
      <c r="U17" s="178"/>
      <c r="V17" s="180"/>
      <c r="W17" s="181" t="s">
        <v>237</v>
      </c>
      <c r="X17" s="178"/>
      <c r="Y17" s="178"/>
      <c r="Z17" s="101" t="s">
        <v>238</v>
      </c>
      <c r="AA17" s="102"/>
      <c r="AB17" s="130"/>
    </row>
    <row r="18" spans="1:28" s="106" customFormat="1" ht="35.1" customHeight="1">
      <c r="A18" s="116"/>
      <c r="B18" s="128"/>
      <c r="C18" s="134"/>
      <c r="D18" s="301" t="s">
        <v>246</v>
      </c>
      <c r="E18" s="302"/>
      <c r="F18" s="302"/>
      <c r="G18" s="302"/>
      <c r="H18" s="303"/>
      <c r="I18" s="103"/>
      <c r="J18" s="177" t="s">
        <v>203</v>
      </c>
      <c r="K18" s="178"/>
      <c r="L18" s="178"/>
      <c r="M18" s="178"/>
      <c r="N18" s="178"/>
      <c r="O18" s="178"/>
      <c r="P18" s="178"/>
      <c r="Q18" s="178"/>
      <c r="R18" s="179" t="s">
        <v>204</v>
      </c>
      <c r="S18" s="178"/>
      <c r="T18" s="178"/>
      <c r="U18" s="178"/>
      <c r="V18" s="180"/>
      <c r="W18" s="182" t="s">
        <v>206</v>
      </c>
      <c r="X18" s="178"/>
      <c r="Y18" s="178"/>
      <c r="Z18" s="178"/>
      <c r="AA18" s="180"/>
      <c r="AB18" s="130"/>
    </row>
    <row r="19" spans="1:28" s="106" customFormat="1" ht="35.1" customHeight="1">
      <c r="A19" s="116"/>
      <c r="B19" s="128"/>
      <c r="C19" s="129"/>
      <c r="D19" s="239" t="s">
        <v>247</v>
      </c>
      <c r="E19" s="178"/>
      <c r="F19" s="178"/>
      <c r="G19" s="178"/>
      <c r="H19" s="180"/>
      <c r="I19" s="100"/>
      <c r="J19" s="210" t="s">
        <v>205</v>
      </c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80"/>
      <c r="AB19" s="130"/>
    </row>
    <row r="20" spans="1:28" s="106" customFormat="1" ht="20.100000000000001" customHeight="1">
      <c r="A20" s="116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0"/>
    </row>
    <row r="21" spans="1:28" s="139" customFormat="1" ht="35.1" customHeight="1">
      <c r="A21" s="136"/>
      <c r="B21" s="137"/>
      <c r="C21" s="240" t="s">
        <v>175</v>
      </c>
      <c r="D21" s="241"/>
      <c r="E21" s="241"/>
      <c r="F21" s="241"/>
      <c r="G21" s="242" t="s">
        <v>248</v>
      </c>
      <c r="H21" s="242"/>
      <c r="I21" s="242"/>
      <c r="J21" s="242"/>
      <c r="K21" s="243"/>
      <c r="L21" s="249" t="s">
        <v>101</v>
      </c>
      <c r="M21" s="250"/>
      <c r="N21" s="250"/>
      <c r="O21" s="251" t="str">
        <f>V21</f>
        <v>{합계_금액_부가세}</v>
      </c>
      <c r="P21" s="252"/>
      <c r="Q21" s="252"/>
      <c r="R21" s="252"/>
      <c r="S21" s="252"/>
      <c r="T21" s="111" t="s">
        <v>102</v>
      </c>
      <c r="U21" s="111" t="s">
        <v>103</v>
      </c>
      <c r="V21" s="253" t="str">
        <f>T27</f>
        <v>{합계_금액_부가세}</v>
      </c>
      <c r="W21" s="253"/>
      <c r="X21" s="253"/>
      <c r="Y21" s="253"/>
      <c r="Z21" s="253"/>
      <c r="AA21" s="112" t="s">
        <v>120</v>
      </c>
      <c r="AB21" s="138"/>
    </row>
    <row r="22" spans="1:28" s="106" customFormat="1" ht="35.1" customHeight="1">
      <c r="A22" s="116"/>
      <c r="B22" s="140"/>
      <c r="C22" s="211" t="s">
        <v>121</v>
      </c>
      <c r="D22" s="212"/>
      <c r="E22" s="213" t="s">
        <v>104</v>
      </c>
      <c r="F22" s="211"/>
      <c r="G22" s="211"/>
      <c r="H22" s="211"/>
      <c r="I22" s="211"/>
      <c r="J22" s="211"/>
      <c r="K22" s="212"/>
      <c r="L22" s="213" t="s">
        <v>122</v>
      </c>
      <c r="M22" s="211"/>
      <c r="N22" s="211"/>
      <c r="O22" s="211"/>
      <c r="P22" s="213" t="s">
        <v>123</v>
      </c>
      <c r="Q22" s="211"/>
      <c r="R22" s="211"/>
      <c r="S22" s="212"/>
      <c r="T22" s="213" t="s">
        <v>105</v>
      </c>
      <c r="U22" s="211"/>
      <c r="V22" s="211"/>
      <c r="W22" s="211"/>
      <c r="X22" s="212"/>
      <c r="Y22" s="211" t="s">
        <v>138</v>
      </c>
      <c r="Z22" s="211"/>
      <c r="AA22" s="212"/>
      <c r="AB22" s="114"/>
    </row>
    <row r="23" spans="1:28" s="106" customFormat="1" ht="35.1" customHeight="1">
      <c r="A23" s="116"/>
      <c r="B23" s="140"/>
      <c r="C23" s="196">
        <v>1</v>
      </c>
      <c r="D23" s="197"/>
      <c r="E23" s="198" t="s">
        <v>126</v>
      </c>
      <c r="F23" s="196"/>
      <c r="G23" s="196"/>
      <c r="H23" s="196"/>
      <c r="I23" s="196"/>
      <c r="J23" s="196"/>
      <c r="K23" s="197"/>
      <c r="L23" s="198" t="s">
        <v>124</v>
      </c>
      <c r="M23" s="196"/>
      <c r="N23" s="196"/>
      <c r="O23" s="197"/>
      <c r="P23" s="254" t="s">
        <v>188</v>
      </c>
      <c r="Q23" s="255"/>
      <c r="R23" s="255"/>
      <c r="S23" s="256"/>
      <c r="T23" s="244" t="s">
        <v>191</v>
      </c>
      <c r="U23" s="245"/>
      <c r="V23" s="245"/>
      <c r="W23" s="245"/>
      <c r="X23" s="246"/>
      <c r="Y23" s="247"/>
      <c r="Z23" s="247"/>
      <c r="AA23" s="248"/>
      <c r="AB23" s="114"/>
    </row>
    <row r="24" spans="1:28" s="106" customFormat="1" ht="35.1" customHeight="1">
      <c r="A24" s="116"/>
      <c r="B24" s="140"/>
      <c r="C24" s="258">
        <v>2</v>
      </c>
      <c r="D24" s="259"/>
      <c r="E24" s="257" t="s">
        <v>176</v>
      </c>
      <c r="F24" s="258"/>
      <c r="G24" s="258"/>
      <c r="H24" s="258"/>
      <c r="I24" s="258"/>
      <c r="J24" s="258"/>
      <c r="K24" s="259"/>
      <c r="L24" s="257" t="s">
        <v>177</v>
      </c>
      <c r="M24" s="258"/>
      <c r="N24" s="258"/>
      <c r="O24" s="259"/>
      <c r="P24" s="254" t="s">
        <v>189</v>
      </c>
      <c r="Q24" s="255"/>
      <c r="R24" s="255"/>
      <c r="S24" s="256"/>
      <c r="T24" s="244" t="s">
        <v>192</v>
      </c>
      <c r="U24" s="245"/>
      <c r="V24" s="245"/>
      <c r="W24" s="245"/>
      <c r="X24" s="246"/>
      <c r="Y24" s="265"/>
      <c r="Z24" s="265"/>
      <c r="AA24" s="266"/>
      <c r="AB24" s="114"/>
    </row>
    <row r="25" spans="1:28" s="106" customFormat="1" ht="35.1" customHeight="1">
      <c r="A25" s="116"/>
      <c r="B25" s="140"/>
      <c r="C25" s="258">
        <v>3</v>
      </c>
      <c r="D25" s="259"/>
      <c r="E25" s="257" t="s">
        <v>178</v>
      </c>
      <c r="F25" s="258"/>
      <c r="G25" s="258"/>
      <c r="H25" s="258"/>
      <c r="I25" s="258"/>
      <c r="J25" s="258"/>
      <c r="K25" s="259"/>
      <c r="L25" s="257" t="s">
        <v>179</v>
      </c>
      <c r="M25" s="258"/>
      <c r="N25" s="258"/>
      <c r="O25" s="259"/>
      <c r="P25" s="254" t="s">
        <v>190</v>
      </c>
      <c r="Q25" s="255"/>
      <c r="R25" s="255"/>
      <c r="S25" s="256"/>
      <c r="T25" s="283" t="s">
        <v>193</v>
      </c>
      <c r="U25" s="284"/>
      <c r="V25" s="284"/>
      <c r="W25" s="284"/>
      <c r="X25" s="285"/>
      <c r="Y25" s="260"/>
      <c r="Z25" s="260"/>
      <c r="AA25" s="261"/>
      <c r="AB25" s="114"/>
    </row>
    <row r="26" spans="1:28" s="144" customFormat="1" ht="35.1" customHeight="1">
      <c r="A26" s="141"/>
      <c r="B26" s="142"/>
      <c r="C26" s="276" t="s">
        <v>125</v>
      </c>
      <c r="D26" s="277"/>
      <c r="E26" s="277"/>
      <c r="F26" s="277"/>
      <c r="G26" s="277"/>
      <c r="H26" s="277"/>
      <c r="I26" s="277"/>
      <c r="J26" s="277"/>
      <c r="K26" s="286"/>
      <c r="L26" s="276"/>
      <c r="M26" s="277"/>
      <c r="N26" s="277"/>
      <c r="O26" s="277"/>
      <c r="P26" s="278"/>
      <c r="Q26" s="252"/>
      <c r="R26" s="252"/>
      <c r="S26" s="279"/>
      <c r="T26" s="280" t="s">
        <v>194</v>
      </c>
      <c r="U26" s="281"/>
      <c r="V26" s="281"/>
      <c r="W26" s="281"/>
      <c r="X26" s="282"/>
      <c r="Y26" s="109"/>
      <c r="Z26" s="109"/>
      <c r="AA26" s="110"/>
      <c r="AB26" s="143"/>
    </row>
    <row r="27" spans="1:28" s="144" customFormat="1" ht="35.1" customHeight="1">
      <c r="A27" s="141"/>
      <c r="B27" s="142"/>
      <c r="C27" s="267" t="s">
        <v>180</v>
      </c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9"/>
      <c r="T27" s="262" t="s">
        <v>195</v>
      </c>
      <c r="U27" s="263"/>
      <c r="V27" s="263"/>
      <c r="W27" s="263"/>
      <c r="X27" s="264"/>
      <c r="Y27" s="270" t="s">
        <v>182</v>
      </c>
      <c r="Z27" s="271"/>
      <c r="AA27" s="272"/>
      <c r="AB27" s="143"/>
    </row>
    <row r="28" spans="1:28" s="144" customFormat="1" ht="35.1" customHeight="1">
      <c r="A28" s="141"/>
      <c r="B28" s="142"/>
      <c r="C28" s="267" t="s">
        <v>181</v>
      </c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9"/>
      <c r="T28" s="262" t="s">
        <v>196</v>
      </c>
      <c r="U28" s="263"/>
      <c r="V28" s="263"/>
      <c r="W28" s="263"/>
      <c r="X28" s="264"/>
      <c r="Y28" s="273"/>
      <c r="Z28" s="274"/>
      <c r="AA28" s="275"/>
      <c r="AB28" s="143"/>
    </row>
    <row r="29" spans="1:28" s="106" customFormat="1" ht="20.100000000000001" customHeight="1">
      <c r="A29" s="116"/>
      <c r="C29" s="290"/>
      <c r="D29" s="290"/>
      <c r="E29" s="290"/>
      <c r="F29" s="290"/>
      <c r="G29" s="290"/>
      <c r="H29" s="290"/>
      <c r="I29" s="290"/>
      <c r="J29" s="290"/>
      <c r="K29" s="290"/>
      <c r="L29" s="291"/>
      <c r="M29" s="291"/>
      <c r="N29" s="291"/>
      <c r="O29" s="291"/>
      <c r="P29" s="291"/>
      <c r="Q29" s="291"/>
      <c r="R29" s="291"/>
      <c r="S29" s="291"/>
      <c r="T29" s="292"/>
      <c r="U29" s="292"/>
      <c r="V29" s="292"/>
      <c r="W29" s="292"/>
      <c r="X29" s="292"/>
      <c r="Y29" s="293"/>
      <c r="Z29" s="293"/>
      <c r="AA29" s="293"/>
      <c r="AB29" s="114"/>
    </row>
    <row r="30" spans="1:28" s="106" customFormat="1" ht="35.1" customHeight="1">
      <c r="A30" s="116"/>
      <c r="B30" s="128"/>
      <c r="C30" s="287" t="s">
        <v>157</v>
      </c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9"/>
      <c r="AB30" s="114"/>
    </row>
    <row r="31" spans="1:28" s="152" customFormat="1" ht="35.1" hidden="1" customHeight="1">
      <c r="A31" s="145"/>
      <c r="B31" s="146"/>
      <c r="C31" s="147" t="s">
        <v>169</v>
      </c>
      <c r="D31" s="148"/>
      <c r="E31" s="148"/>
      <c r="F31" s="148"/>
      <c r="G31" s="148"/>
      <c r="H31" s="148"/>
      <c r="I31" s="148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50"/>
      <c r="AB31" s="151"/>
    </row>
    <row r="32" spans="1:28" s="160" customFormat="1" ht="35.1" customHeight="1">
      <c r="A32" s="153"/>
      <c r="B32" s="154"/>
      <c r="C32" s="171" t="s">
        <v>249</v>
      </c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3"/>
      <c r="AB32" s="159"/>
    </row>
    <row r="33" spans="1:28" s="160" customFormat="1" ht="35.1" customHeight="1">
      <c r="A33" s="153"/>
      <c r="B33" s="154"/>
      <c r="C33" s="155" t="s">
        <v>106</v>
      </c>
      <c r="D33" s="156"/>
      <c r="E33" s="156"/>
      <c r="F33" s="156"/>
      <c r="G33" s="156"/>
      <c r="H33" s="156"/>
      <c r="I33" s="156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8"/>
      <c r="AB33" s="159"/>
    </row>
    <row r="34" spans="1:28" s="160" customFormat="1" ht="35.1" customHeight="1">
      <c r="A34" s="153"/>
      <c r="B34" s="154"/>
      <c r="C34" s="155" t="s">
        <v>174</v>
      </c>
      <c r="D34" s="156"/>
      <c r="E34" s="156"/>
      <c r="F34" s="156"/>
      <c r="G34" s="156"/>
      <c r="H34" s="156"/>
      <c r="I34" s="156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8"/>
      <c r="AB34" s="159"/>
    </row>
    <row r="35" spans="1:28" s="160" customFormat="1" ht="35.1" customHeight="1">
      <c r="A35" s="153"/>
      <c r="B35" s="154"/>
      <c r="C35" s="155"/>
      <c r="D35" s="161"/>
      <c r="E35" s="161"/>
      <c r="F35" s="161"/>
      <c r="G35" s="161"/>
      <c r="H35" s="161"/>
      <c r="I35" s="161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8"/>
      <c r="AB35" s="159"/>
    </row>
    <row r="36" spans="1:28" s="160" customFormat="1" ht="35.1" customHeight="1">
      <c r="A36" s="153"/>
      <c r="B36" s="154"/>
      <c r="C36" s="162"/>
      <c r="D36" s="163"/>
      <c r="E36" s="164"/>
      <c r="F36" s="164"/>
      <c r="G36" s="164"/>
      <c r="H36" s="164"/>
      <c r="I36" s="164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6"/>
      <c r="AB36" s="159"/>
    </row>
    <row r="37" spans="1:28" s="160" customFormat="1" ht="27.95" customHeight="1" thickBot="1">
      <c r="A37" s="167"/>
      <c r="B37" s="168"/>
      <c r="C37" s="169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70"/>
    </row>
  </sheetData>
  <mergeCells count="95">
    <mergeCell ref="A1:AB1"/>
    <mergeCell ref="A4:AA4"/>
    <mergeCell ref="E7:J7"/>
    <mergeCell ref="D18:H18"/>
    <mergeCell ref="F13:J13"/>
    <mergeCell ref="F12:J12"/>
    <mergeCell ref="D14:H14"/>
    <mergeCell ref="J14:AA14"/>
    <mergeCell ref="D16:H16"/>
    <mergeCell ref="J16:AA16"/>
    <mergeCell ref="D17:H17"/>
    <mergeCell ref="D15:H15"/>
    <mergeCell ref="N9:P9"/>
    <mergeCell ref="Q9:AA9"/>
    <mergeCell ref="N10:P10"/>
    <mergeCell ref="X10:AA10"/>
    <mergeCell ref="C25:D25"/>
    <mergeCell ref="E25:K25"/>
    <mergeCell ref="C30:AA30"/>
    <mergeCell ref="C29:D29"/>
    <mergeCell ref="E29:K29"/>
    <mergeCell ref="L29:O29"/>
    <mergeCell ref="P29:S29"/>
    <mergeCell ref="T29:X29"/>
    <mergeCell ref="Y29:AA29"/>
    <mergeCell ref="Y25:AA25"/>
    <mergeCell ref="T28:X28"/>
    <mergeCell ref="P24:S24"/>
    <mergeCell ref="T24:X24"/>
    <mergeCell ref="Y24:AA24"/>
    <mergeCell ref="C28:S28"/>
    <mergeCell ref="C27:S27"/>
    <mergeCell ref="T27:X27"/>
    <mergeCell ref="Y27:AA28"/>
    <mergeCell ref="L26:O26"/>
    <mergeCell ref="P26:S26"/>
    <mergeCell ref="T26:X26"/>
    <mergeCell ref="T25:X25"/>
    <mergeCell ref="C26:K26"/>
    <mergeCell ref="C24:D24"/>
    <mergeCell ref="E24:K24"/>
    <mergeCell ref="L23:O23"/>
    <mergeCell ref="P23:S23"/>
    <mergeCell ref="L24:O24"/>
    <mergeCell ref="L25:O25"/>
    <mergeCell ref="P25:S25"/>
    <mergeCell ref="L21:N21"/>
    <mergeCell ref="O21:S21"/>
    <mergeCell ref="V21:Z21"/>
    <mergeCell ref="T22:X22"/>
    <mergeCell ref="C22:D22"/>
    <mergeCell ref="E22:K22"/>
    <mergeCell ref="L22:O22"/>
    <mergeCell ref="Q8:T8"/>
    <mergeCell ref="A2:AA2"/>
    <mergeCell ref="W6:AA6"/>
    <mergeCell ref="N7:P7"/>
    <mergeCell ref="Q7:AA7"/>
    <mergeCell ref="M5:S6"/>
    <mergeCell ref="U8:W8"/>
    <mergeCell ref="X8:AA8"/>
    <mergeCell ref="E8:I8"/>
    <mergeCell ref="A3:AB3"/>
    <mergeCell ref="U10:W10"/>
    <mergeCell ref="Q10:T10"/>
    <mergeCell ref="M7:M12"/>
    <mergeCell ref="N8:P8"/>
    <mergeCell ref="C23:D23"/>
    <mergeCell ref="E23:K23"/>
    <mergeCell ref="N11:P12"/>
    <mergeCell ref="Q11:T12"/>
    <mergeCell ref="U11:W11"/>
    <mergeCell ref="J19:AA19"/>
    <mergeCell ref="Y22:AA22"/>
    <mergeCell ref="P22:S22"/>
    <mergeCell ref="J15:AA15"/>
    <mergeCell ref="N13:P13"/>
    <mergeCell ref="Q13:T13"/>
    <mergeCell ref="U12:W12"/>
    <mergeCell ref="C32:AA32"/>
    <mergeCell ref="X11:AA11"/>
    <mergeCell ref="J17:Q17"/>
    <mergeCell ref="R17:V17"/>
    <mergeCell ref="W17:Y17"/>
    <mergeCell ref="J18:Q18"/>
    <mergeCell ref="R18:V18"/>
    <mergeCell ref="W18:AA18"/>
    <mergeCell ref="X12:AA12"/>
    <mergeCell ref="U13:W13"/>
    <mergeCell ref="X13:AA13"/>
    <mergeCell ref="D19:H19"/>
    <mergeCell ref="C21:F21"/>
    <mergeCell ref="G21:K21"/>
    <mergeCell ref="T23:X23"/>
    <mergeCell ref="Y23:AA23"/>
  </mergeCells>
  <phoneticPr fontId="95" type="noConversion"/>
  <printOptions horizontalCentered="1"/>
  <pageMargins left="0.23622047244094491" right="0.23622047244094491" top="0.84" bottom="0.34" header="0.31496062992125984" footer="0.31496062992125984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00B0F0"/>
  </sheetPr>
  <dimension ref="A1:L48"/>
  <sheetViews>
    <sheetView showGridLines="0" view="pageBreakPreview" zoomScaleNormal="100" zoomScaleSheetLayoutView="100" workbookViewId="0">
      <selection activeCell="D6" sqref="D6"/>
    </sheetView>
  </sheetViews>
  <sheetFormatPr defaultRowHeight="13.5"/>
  <cols>
    <col min="1" max="1" width="3" style="11" customWidth="1"/>
    <col min="2" max="2" width="16.88671875" style="11" customWidth="1"/>
    <col min="3" max="3" width="9.77734375" style="11" customWidth="1"/>
    <col min="4" max="4" width="15.6640625" style="11" bestFit="1" customWidth="1"/>
    <col min="5" max="5" width="12.77734375" style="11" customWidth="1"/>
    <col min="6" max="7" width="15.77734375" style="11" customWidth="1"/>
    <col min="8" max="9" width="8.88671875" style="11"/>
    <col min="10" max="10" width="14" style="11" bestFit="1" customWidth="1"/>
    <col min="11" max="11" width="9.5546875" style="11" bestFit="1" customWidth="1"/>
    <col min="12" max="16384" width="8.88671875" style="11"/>
  </cols>
  <sheetData>
    <row r="1" spans="1:12" ht="35.25" customHeight="1">
      <c r="A1" s="308" t="s">
        <v>89</v>
      </c>
      <c r="B1" s="308"/>
      <c r="C1" s="308"/>
      <c r="D1" s="308"/>
      <c r="E1" s="308"/>
      <c r="F1" s="308"/>
      <c r="G1" s="308"/>
    </row>
    <row r="2" spans="1:12" ht="50.1" customHeight="1" thickBot="1">
      <c r="A2" s="12"/>
      <c r="B2" s="12"/>
      <c r="C2" s="12"/>
      <c r="D2" s="12"/>
      <c r="E2" s="12"/>
      <c r="F2" s="12"/>
    </row>
    <row r="3" spans="1:12" ht="30" customHeight="1" thickBot="1">
      <c r="A3" s="306" t="s">
        <v>150</v>
      </c>
      <c r="B3" s="307"/>
      <c r="C3" s="13"/>
      <c r="D3" s="13"/>
      <c r="E3" s="13"/>
      <c r="F3" s="13"/>
      <c r="J3" s="62" t="s">
        <v>153</v>
      </c>
      <c r="K3" s="63">
        <v>0.92500000000000004</v>
      </c>
      <c r="L3" s="63"/>
    </row>
    <row r="4" spans="1:12" ht="27.95" customHeight="1">
      <c r="A4" s="14" t="s">
        <v>6</v>
      </c>
      <c r="B4" s="15" t="s">
        <v>7</v>
      </c>
      <c r="C4" s="16" t="s">
        <v>143</v>
      </c>
      <c r="D4" s="16" t="s">
        <v>142</v>
      </c>
      <c r="E4" s="17" t="s">
        <v>3</v>
      </c>
      <c r="F4" s="18" t="s">
        <v>141</v>
      </c>
      <c r="G4" s="19" t="s">
        <v>4</v>
      </c>
    </row>
    <row r="5" spans="1:12" ht="27.95" customHeight="1">
      <c r="A5" s="20" t="s">
        <v>10</v>
      </c>
      <c r="B5" s="21" t="s">
        <v>5</v>
      </c>
      <c r="C5" s="22"/>
      <c r="D5" s="23"/>
      <c r="E5" s="24"/>
      <c r="F5" s="25" t="e">
        <f>SUM(F6:F8)</f>
        <v>#VALUE!</v>
      </c>
      <c r="G5" s="26"/>
    </row>
    <row r="6" spans="1:12" ht="27.95" customHeight="1">
      <c r="A6" s="313" t="s">
        <v>2</v>
      </c>
      <c r="B6" s="314"/>
      <c r="C6" s="98" t="s">
        <v>144</v>
      </c>
      <c r="D6" s="105" t="s">
        <v>210</v>
      </c>
      <c r="E6" s="104" t="s">
        <v>207</v>
      </c>
      <c r="F6" s="27" t="e">
        <f>SUM(D6*E6)</f>
        <v>#VALUE!</v>
      </c>
      <c r="G6" s="28"/>
    </row>
    <row r="7" spans="1:12" ht="27.95" customHeight="1">
      <c r="A7" s="313" t="s">
        <v>16</v>
      </c>
      <c r="B7" s="314"/>
      <c r="C7" s="98" t="s">
        <v>145</v>
      </c>
      <c r="D7" s="105" t="s">
        <v>212</v>
      </c>
      <c r="E7" s="104" t="s">
        <v>208</v>
      </c>
      <c r="F7" s="27" t="e">
        <f>SUM(D7*E7)</f>
        <v>#VALUE!</v>
      </c>
      <c r="G7" s="28"/>
    </row>
    <row r="8" spans="1:12" ht="27.95" customHeight="1">
      <c r="A8" s="313" t="s">
        <v>17</v>
      </c>
      <c r="B8" s="314"/>
      <c r="C8" s="98" t="s">
        <v>145</v>
      </c>
      <c r="D8" s="105" t="s">
        <v>211</v>
      </c>
      <c r="E8" s="104" t="s">
        <v>209</v>
      </c>
      <c r="F8" s="99" t="e">
        <f>SUM(D8*E8)</f>
        <v>#VALUE!</v>
      </c>
      <c r="G8" s="28"/>
      <c r="J8" s="29"/>
    </row>
    <row r="9" spans="1:12" ht="27.95" customHeight="1">
      <c r="A9" s="20" t="s">
        <v>11</v>
      </c>
      <c r="B9" s="21" t="s">
        <v>0</v>
      </c>
      <c r="C9" s="30" t="s">
        <v>146</v>
      </c>
      <c r="D9" s="31" t="s">
        <v>165</v>
      </c>
      <c r="E9" s="32">
        <v>0.1</v>
      </c>
      <c r="F9" s="33" t="e">
        <f>SUM(F5*E9)</f>
        <v>#VALUE!</v>
      </c>
      <c r="G9" s="34"/>
      <c r="J9" s="35"/>
    </row>
    <row r="10" spans="1:12" ht="27.95" customHeight="1">
      <c r="A10" s="20" t="s">
        <v>12</v>
      </c>
      <c r="B10" s="21" t="s">
        <v>18</v>
      </c>
      <c r="C10" s="30" t="s">
        <v>147</v>
      </c>
      <c r="D10" s="31" t="s">
        <v>148</v>
      </c>
      <c r="E10" s="32">
        <v>1.1000000000000001</v>
      </c>
      <c r="F10" s="33" t="e">
        <f>SUM(F5*E10)</f>
        <v>#VALUE!</v>
      </c>
      <c r="G10" s="28" t="s">
        <v>85</v>
      </c>
      <c r="J10" s="36"/>
    </row>
    <row r="11" spans="1:12" ht="27.95" customHeight="1">
      <c r="A11" s="20" t="s">
        <v>13</v>
      </c>
      <c r="B11" s="21" t="s">
        <v>1</v>
      </c>
      <c r="C11" s="30" t="s">
        <v>146</v>
      </c>
      <c r="D11" s="31" t="s">
        <v>172</v>
      </c>
      <c r="E11" s="32">
        <v>0.2</v>
      </c>
      <c r="F11" s="33" t="e">
        <f>SUM((F5+F10)*E11)</f>
        <v>#VALUE!</v>
      </c>
      <c r="G11" s="28" t="s">
        <v>19</v>
      </c>
      <c r="J11" s="37"/>
    </row>
    <row r="12" spans="1:12" ht="27.95" customHeight="1">
      <c r="A12" s="38" t="s">
        <v>14</v>
      </c>
      <c r="B12" s="39" t="s">
        <v>9</v>
      </c>
      <c r="C12" s="40"/>
      <c r="D12" s="41"/>
      <c r="E12" s="42"/>
      <c r="F12" s="43" t="e">
        <f>SUM(F5+F9+F10+F11)</f>
        <v>#VALUE!</v>
      </c>
      <c r="G12" s="44"/>
    </row>
    <row r="13" spans="1:12" ht="27.95" customHeight="1">
      <c r="A13" s="45"/>
      <c r="B13" s="45"/>
      <c r="C13" s="46"/>
      <c r="D13" s="45"/>
      <c r="E13" s="45"/>
      <c r="F13" s="45"/>
      <c r="G13" s="45"/>
    </row>
    <row r="14" spans="1:12" s="54" customFormat="1" ht="35.1" customHeight="1" thickBot="1">
      <c r="A14" s="47" t="s">
        <v>15</v>
      </c>
      <c r="B14" s="48" t="s">
        <v>8</v>
      </c>
      <c r="C14" s="49"/>
      <c r="D14" s="50"/>
      <c r="E14" s="51"/>
      <c r="F14" s="52" t="e">
        <f>ROUNDDOWN(F12,-5)</f>
        <v>#VALUE!</v>
      </c>
      <c r="G14" s="53" t="e">
        <f>F12-F14</f>
        <v>#VALUE!</v>
      </c>
    </row>
    <row r="15" spans="1:12" ht="42" customHeight="1" thickBot="1">
      <c r="A15" s="12"/>
      <c r="B15" s="12"/>
      <c r="C15" s="12"/>
      <c r="D15" s="12"/>
      <c r="E15" s="12"/>
      <c r="F15" s="12"/>
    </row>
    <row r="16" spans="1:12" ht="30" customHeight="1" thickBot="1">
      <c r="A16" s="309" t="s">
        <v>168</v>
      </c>
      <c r="B16" s="310"/>
      <c r="C16" s="13"/>
      <c r="D16" s="13"/>
      <c r="E16" s="13"/>
      <c r="F16" s="13"/>
    </row>
    <row r="17" spans="1:7" ht="27.95" customHeight="1">
      <c r="A17" s="87" t="s">
        <v>127</v>
      </c>
      <c r="B17" s="88" t="s">
        <v>128</v>
      </c>
      <c r="C17" s="93" t="s">
        <v>149</v>
      </c>
      <c r="D17" s="93" t="s">
        <v>129</v>
      </c>
      <c r="E17" s="95" t="s">
        <v>130</v>
      </c>
      <c r="F17" s="95" t="s">
        <v>141</v>
      </c>
      <c r="G17" s="96" t="s">
        <v>4</v>
      </c>
    </row>
    <row r="18" spans="1:7" ht="27.95" customHeight="1">
      <c r="A18" s="89" t="s">
        <v>10</v>
      </c>
      <c r="B18" s="90" t="s">
        <v>131</v>
      </c>
      <c r="C18" s="94"/>
      <c r="D18" s="23"/>
      <c r="E18" s="23"/>
      <c r="F18" s="25" t="e">
        <f>SUM(F19:F20)</f>
        <v>#VALUE!</v>
      </c>
      <c r="G18" s="26"/>
    </row>
    <row r="19" spans="1:7" ht="27.95" customHeight="1">
      <c r="A19" s="311" t="s">
        <v>16</v>
      </c>
      <c r="B19" s="312"/>
      <c r="C19" s="97" t="s">
        <v>167</v>
      </c>
      <c r="D19" s="105" t="s">
        <v>212</v>
      </c>
      <c r="E19" s="104" t="s">
        <v>208</v>
      </c>
      <c r="F19" s="55" t="e">
        <f>SUM(D19*E19)</f>
        <v>#VALUE!</v>
      </c>
      <c r="G19" s="28"/>
    </row>
    <row r="20" spans="1:7" ht="27.95" customHeight="1">
      <c r="A20" s="311" t="s">
        <v>132</v>
      </c>
      <c r="B20" s="312"/>
      <c r="C20" s="97" t="s">
        <v>167</v>
      </c>
      <c r="D20" s="105" t="s">
        <v>211</v>
      </c>
      <c r="E20" s="104" t="s">
        <v>209</v>
      </c>
      <c r="F20" s="55" t="e">
        <f>SUM(D20*E20)</f>
        <v>#VALUE!</v>
      </c>
      <c r="G20" s="28"/>
    </row>
    <row r="21" spans="1:7" ht="27.95" customHeight="1">
      <c r="A21" s="89" t="s">
        <v>133</v>
      </c>
      <c r="B21" s="90" t="s">
        <v>134</v>
      </c>
      <c r="C21" s="94"/>
      <c r="D21" s="31" t="s">
        <v>166</v>
      </c>
      <c r="E21" s="32">
        <v>0.1</v>
      </c>
      <c r="F21" s="33" t="e">
        <f>SUM(F18*E21)</f>
        <v>#VALUE!</v>
      </c>
      <c r="G21" s="26"/>
    </row>
    <row r="22" spans="1:7" ht="27.95" customHeight="1">
      <c r="A22" s="89" t="s">
        <v>12</v>
      </c>
      <c r="B22" s="90" t="s">
        <v>18</v>
      </c>
      <c r="C22" s="94"/>
      <c r="D22" s="31" t="s">
        <v>166</v>
      </c>
      <c r="E22" s="32">
        <v>1.1000000000000001</v>
      </c>
      <c r="F22" s="33" t="e">
        <f>SUM(F18*E22)</f>
        <v>#VALUE!</v>
      </c>
      <c r="G22" s="26"/>
    </row>
    <row r="23" spans="1:7" ht="27.95" customHeight="1">
      <c r="A23" s="89" t="s">
        <v>13</v>
      </c>
      <c r="B23" s="90" t="s">
        <v>135</v>
      </c>
      <c r="C23" s="94"/>
      <c r="D23" s="31" t="s">
        <v>173</v>
      </c>
      <c r="E23" s="32">
        <v>0.2</v>
      </c>
      <c r="F23" s="33" t="e">
        <f>SUM((F18+F22)*E23)</f>
        <v>#VALUE!</v>
      </c>
      <c r="G23" s="56"/>
    </row>
    <row r="24" spans="1:7" ht="27.95" customHeight="1">
      <c r="A24" s="91" t="s">
        <v>14</v>
      </c>
      <c r="B24" s="92" t="s">
        <v>9</v>
      </c>
      <c r="C24" s="94"/>
      <c r="D24" s="41"/>
      <c r="E24" s="42"/>
      <c r="F24" s="43" t="e">
        <f>SUM(F18+F21+F22+F23)</f>
        <v>#VALUE!</v>
      </c>
      <c r="G24" s="44"/>
    </row>
    <row r="25" spans="1:7" ht="27.95" customHeight="1">
      <c r="A25" s="45"/>
      <c r="B25" s="45"/>
      <c r="C25" s="45"/>
      <c r="D25" s="45"/>
      <c r="E25" s="45"/>
      <c r="F25" s="45"/>
      <c r="G25" s="45"/>
    </row>
    <row r="26" spans="1:7" s="54" customFormat="1" ht="35.1" customHeight="1" thickBot="1">
      <c r="A26" s="57" t="s">
        <v>136</v>
      </c>
      <c r="B26" s="58" t="s">
        <v>137</v>
      </c>
      <c r="C26" s="59"/>
      <c r="D26" s="59"/>
      <c r="E26" s="59"/>
      <c r="F26" s="60" t="e">
        <f>ROUNDDOWN(F24*1,-5)</f>
        <v>#VALUE!</v>
      </c>
      <c r="G26" s="61" t="e">
        <f>F24-F26</f>
        <v>#VALUE!</v>
      </c>
    </row>
    <row r="27" spans="1:7" ht="28.5" customHeight="1"/>
    <row r="28" spans="1:7" ht="28.5" customHeight="1"/>
    <row r="29" spans="1:7" ht="28.5" customHeight="1"/>
    <row r="30" spans="1:7" ht="28.5" customHeight="1"/>
    <row r="31" spans="1:7" ht="28.5" customHeight="1"/>
    <row r="32" spans="1:7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</sheetData>
  <mergeCells count="8">
    <mergeCell ref="A3:B3"/>
    <mergeCell ref="A1:G1"/>
    <mergeCell ref="A16:B16"/>
    <mergeCell ref="A19:B19"/>
    <mergeCell ref="A20:B20"/>
    <mergeCell ref="A8:B8"/>
    <mergeCell ref="A7:B7"/>
    <mergeCell ref="A6:B6"/>
  </mergeCells>
  <phoneticPr fontId="2" type="noConversion"/>
  <printOptions horizontalCentered="1"/>
  <pageMargins left="0.31496062992125984" right="0.31496062992125984" top="0.86614173228346458" bottom="0.55118110236220474" header="0.31496062992125984" footer="0.31496062992125984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00FF00"/>
  </sheetPr>
  <dimension ref="A1:E34"/>
  <sheetViews>
    <sheetView showGridLines="0" view="pageBreakPreview" zoomScaleNormal="85" zoomScaleSheetLayoutView="100" workbookViewId="0">
      <selection activeCell="B6" sqref="B6"/>
    </sheetView>
  </sheetViews>
  <sheetFormatPr defaultRowHeight="13.5"/>
  <cols>
    <col min="1" max="1" width="18.6640625" style="11" customWidth="1"/>
    <col min="2" max="2" width="17.44140625" style="11" customWidth="1"/>
    <col min="3" max="3" width="7.44140625" style="11" customWidth="1"/>
    <col min="4" max="4" width="22.6640625" style="11" customWidth="1"/>
    <col min="5" max="5" width="9.44140625" style="11" customWidth="1"/>
    <col min="6" max="16384" width="8.88671875" style="11"/>
  </cols>
  <sheetData>
    <row r="1" spans="1:5" ht="60" customHeight="1" thickBot="1">
      <c r="A1" s="315" t="s">
        <v>20</v>
      </c>
      <c r="B1" s="315"/>
      <c r="C1" s="315"/>
      <c r="D1" s="315"/>
      <c r="E1" s="315"/>
    </row>
    <row r="2" spans="1:5" ht="38.25" customHeight="1" thickTop="1" thickBot="1">
      <c r="A2" s="319" t="s">
        <v>48</v>
      </c>
      <c r="B2" s="320"/>
      <c r="C2" s="82" t="s">
        <v>97</v>
      </c>
      <c r="D2" s="80" t="s">
        <v>49</v>
      </c>
      <c r="E2" s="83" t="s">
        <v>96</v>
      </c>
    </row>
    <row r="3" spans="1:5" ht="24.95" customHeight="1" thickTop="1">
      <c r="A3" s="316" t="s">
        <v>37</v>
      </c>
      <c r="B3" s="78" t="s">
        <v>99</v>
      </c>
      <c r="C3" s="84" t="s">
        <v>236</v>
      </c>
      <c r="D3" s="78" t="s">
        <v>93</v>
      </c>
      <c r="E3" s="79" t="e">
        <f>ROUNDUP(SUM(C3*50%),0)</f>
        <v>#VALUE!</v>
      </c>
    </row>
    <row r="4" spans="1:5" ht="24.95" customHeight="1">
      <c r="A4" s="317"/>
      <c r="B4" s="65" t="s">
        <v>22</v>
      </c>
      <c r="C4" s="84" t="s">
        <v>213</v>
      </c>
      <c r="D4" s="65" t="s">
        <v>93</v>
      </c>
      <c r="E4" s="66" t="e">
        <f>ROUNDUP(SUM(C4*50%),0)</f>
        <v>#VALUE!</v>
      </c>
    </row>
    <row r="5" spans="1:5" ht="24.95" customHeight="1">
      <c r="A5" s="317"/>
      <c r="B5" s="65" t="s">
        <v>241</v>
      </c>
      <c r="C5" s="84" t="s">
        <v>240</v>
      </c>
      <c r="D5" s="65" t="s">
        <v>92</v>
      </c>
      <c r="E5" s="66">
        <f>ROUNDUP(SUM(C5),0)</f>
        <v>0</v>
      </c>
    </row>
    <row r="6" spans="1:5" ht="24.95" customHeight="1">
      <c r="A6" s="317"/>
      <c r="B6" s="65" t="s">
        <v>23</v>
      </c>
      <c r="C6" s="84" t="s">
        <v>214</v>
      </c>
      <c r="D6" s="65" t="s">
        <v>93</v>
      </c>
      <c r="E6" s="66" t="e">
        <f>ROUNDUP(SUM(C6*50%),0)</f>
        <v>#VALUE!</v>
      </c>
    </row>
    <row r="7" spans="1:5" ht="24.95" customHeight="1">
      <c r="A7" s="317"/>
      <c r="B7" s="65" t="s">
        <v>24</v>
      </c>
      <c r="C7" s="84" t="s">
        <v>215</v>
      </c>
      <c r="D7" s="65" t="s">
        <v>93</v>
      </c>
      <c r="E7" s="66" t="e">
        <f>ROUNDUP(SUM(C7*50%),0)</f>
        <v>#VALUE!</v>
      </c>
    </row>
    <row r="8" spans="1:5" ht="24.95" customHeight="1">
      <c r="A8" s="317"/>
      <c r="B8" s="65" t="s">
        <v>25</v>
      </c>
      <c r="C8" s="84" t="s">
        <v>216</v>
      </c>
      <c r="D8" s="65" t="s">
        <v>92</v>
      </c>
      <c r="E8" s="66">
        <f>ROUNDUP(SUM(C8),0)</f>
        <v>0</v>
      </c>
    </row>
    <row r="9" spans="1:5" ht="24.95" customHeight="1">
      <c r="A9" s="317"/>
      <c r="B9" s="65" t="s">
        <v>46</v>
      </c>
      <c r="C9" s="84" t="s">
        <v>217</v>
      </c>
      <c r="D9" s="65" t="s">
        <v>94</v>
      </c>
      <c r="E9" s="66" t="e">
        <f>ROUNDUP(SUM(C9*20%),0)</f>
        <v>#VALUE!</v>
      </c>
    </row>
    <row r="10" spans="1:5" ht="24.95" customHeight="1">
      <c r="A10" s="317"/>
      <c r="B10" s="65" t="s">
        <v>47</v>
      </c>
      <c r="C10" s="84" t="s">
        <v>218</v>
      </c>
      <c r="D10" s="65" t="s">
        <v>92</v>
      </c>
      <c r="E10" s="66">
        <f>ROUNDUP(SUM(C10),0)</f>
        <v>0</v>
      </c>
    </row>
    <row r="11" spans="1:5" ht="24.95" customHeight="1">
      <c r="A11" s="317"/>
      <c r="B11" s="65" t="s">
        <v>26</v>
      </c>
      <c r="C11" s="84" t="s">
        <v>219</v>
      </c>
      <c r="D11" s="65" t="s">
        <v>95</v>
      </c>
      <c r="E11" s="66" t="e">
        <f>ROUNDUP(SUM(C11*20%),0)</f>
        <v>#VALUE!</v>
      </c>
    </row>
    <row r="12" spans="1:5" ht="24.95" customHeight="1">
      <c r="A12" s="317"/>
      <c r="B12" s="65" t="s">
        <v>27</v>
      </c>
      <c r="C12" s="84" t="s">
        <v>220</v>
      </c>
      <c r="D12" s="65" t="s">
        <v>95</v>
      </c>
      <c r="E12" s="66" t="e">
        <f>ROUNDUP(SUM(C12*20%),0)</f>
        <v>#VALUE!</v>
      </c>
    </row>
    <row r="13" spans="1:5" ht="24.95" customHeight="1">
      <c r="A13" s="317" t="s">
        <v>38</v>
      </c>
      <c r="B13" s="65" t="s">
        <v>28</v>
      </c>
      <c r="C13" s="84" t="s">
        <v>221</v>
      </c>
      <c r="D13" s="65" t="s">
        <v>95</v>
      </c>
      <c r="E13" s="66" t="e">
        <f>ROUNDUP(SUM(C13*20%),0)</f>
        <v>#VALUE!</v>
      </c>
    </row>
    <row r="14" spans="1:5" ht="24.95" customHeight="1">
      <c r="A14" s="317"/>
      <c r="B14" s="65" t="s">
        <v>29</v>
      </c>
      <c r="C14" s="84" t="s">
        <v>222</v>
      </c>
      <c r="D14" s="65" t="s">
        <v>95</v>
      </c>
      <c r="E14" s="66" t="e">
        <f>ROUNDUP(SUM(C14*20%),0)</f>
        <v>#VALUE!</v>
      </c>
    </row>
    <row r="15" spans="1:5" ht="24.95" customHeight="1">
      <c r="A15" s="317" t="s">
        <v>30</v>
      </c>
      <c r="B15" s="65" t="s">
        <v>30</v>
      </c>
      <c r="C15" s="84" t="s">
        <v>223</v>
      </c>
      <c r="D15" s="65" t="s">
        <v>95</v>
      </c>
      <c r="E15" s="66" t="e">
        <f>ROUNDUP(SUM(C15*20%),0)</f>
        <v>#VALUE!</v>
      </c>
    </row>
    <row r="16" spans="1:5" ht="24.95" customHeight="1">
      <c r="A16" s="317"/>
      <c r="B16" s="65" t="s">
        <v>31</v>
      </c>
      <c r="C16" s="84" t="s">
        <v>224</v>
      </c>
      <c r="D16" s="65" t="s">
        <v>92</v>
      </c>
      <c r="E16" s="66" t="str">
        <f>C16</f>
        <v>{필터}</v>
      </c>
    </row>
    <row r="17" spans="1:5" ht="24.95" customHeight="1">
      <c r="A17" s="317" t="s">
        <v>32</v>
      </c>
      <c r="B17" s="318"/>
      <c r="C17" s="84" t="s">
        <v>225</v>
      </c>
      <c r="D17" s="323" t="s">
        <v>98</v>
      </c>
      <c r="E17" s="66" t="str">
        <f>C17</f>
        <v>{위생기구설비}</v>
      </c>
    </row>
    <row r="18" spans="1:5" ht="24.95" customHeight="1">
      <c r="A18" s="317" t="s">
        <v>39</v>
      </c>
      <c r="B18" s="65" t="s">
        <v>91</v>
      </c>
      <c r="C18" s="84" t="s">
        <v>226</v>
      </c>
      <c r="D18" s="323"/>
      <c r="E18" s="66" t="str">
        <f t="shared" ref="E18:E22" si="0">C18</f>
        <v>{급수펌프, 급탕탱크}</v>
      </c>
    </row>
    <row r="19" spans="1:5" ht="24.95" customHeight="1">
      <c r="A19" s="317"/>
      <c r="B19" s="65" t="s">
        <v>33</v>
      </c>
      <c r="C19" s="84" t="s">
        <v>227</v>
      </c>
      <c r="D19" s="323"/>
      <c r="E19" s="66" t="str">
        <f t="shared" si="0"/>
        <v>{고·저수조}</v>
      </c>
    </row>
    <row r="20" spans="1:5" ht="24.95" customHeight="1">
      <c r="A20" s="317" t="s">
        <v>90</v>
      </c>
      <c r="B20" s="318"/>
      <c r="C20" s="84" t="s">
        <v>228</v>
      </c>
      <c r="D20" s="323"/>
      <c r="E20" s="66" t="str">
        <f t="shared" si="0"/>
        <v>{오·배수 통기 및 우수배수시설}</v>
      </c>
    </row>
    <row r="21" spans="1:5" ht="24.95" customHeight="1">
      <c r="A21" s="322" t="s">
        <v>41</v>
      </c>
      <c r="B21" s="65" t="s">
        <v>34</v>
      </c>
      <c r="C21" s="84" t="s">
        <v>229</v>
      </c>
      <c r="D21" s="323"/>
      <c r="E21" s="66" t="str">
        <f t="shared" si="0"/>
        <v>{오수정화설비}</v>
      </c>
    </row>
    <row r="22" spans="1:5" ht="24.95" customHeight="1">
      <c r="A22" s="317"/>
      <c r="B22" s="65" t="s">
        <v>35</v>
      </c>
      <c r="C22" s="84" t="s">
        <v>230</v>
      </c>
      <c r="D22" s="323"/>
      <c r="E22" s="66" t="str">
        <f t="shared" si="0"/>
        <v>{물 재이용설비}</v>
      </c>
    </row>
    <row r="23" spans="1:5" ht="24.95" customHeight="1">
      <c r="A23" s="317" t="s">
        <v>42</v>
      </c>
      <c r="B23" s="318"/>
      <c r="C23" s="84" t="s">
        <v>231</v>
      </c>
      <c r="D23" s="323"/>
      <c r="E23" s="66" t="str">
        <f>C23</f>
        <v>{배관설비}</v>
      </c>
    </row>
    <row r="24" spans="1:5" ht="24.95" customHeight="1">
      <c r="A24" s="317" t="s">
        <v>43</v>
      </c>
      <c r="B24" s="318"/>
      <c r="C24" s="84" t="s">
        <v>232</v>
      </c>
      <c r="D24" s="323"/>
      <c r="E24" s="66" t="str">
        <f t="shared" ref="E24:E27" si="1">C24</f>
        <v>{덕트설비}</v>
      </c>
    </row>
    <row r="25" spans="1:5" ht="24.95" customHeight="1">
      <c r="A25" s="317" t="s">
        <v>44</v>
      </c>
      <c r="B25" s="318"/>
      <c r="C25" s="84" t="s">
        <v>233</v>
      </c>
      <c r="D25" s="323"/>
      <c r="E25" s="66" t="str">
        <f t="shared" si="1"/>
        <v>{보온설비}</v>
      </c>
    </row>
    <row r="26" spans="1:5" ht="24.95" customHeight="1">
      <c r="A26" s="317" t="s">
        <v>36</v>
      </c>
      <c r="B26" s="318"/>
      <c r="C26" s="84" t="s">
        <v>234</v>
      </c>
      <c r="D26" s="323"/>
      <c r="E26" s="66" t="str">
        <f t="shared" si="1"/>
        <v>{자동제어설비}</v>
      </c>
    </row>
    <row r="27" spans="1:5" ht="24.95" customHeight="1">
      <c r="A27" s="317" t="s">
        <v>45</v>
      </c>
      <c r="B27" s="318"/>
      <c r="C27" s="84" t="s">
        <v>235</v>
      </c>
      <c r="D27" s="323"/>
      <c r="E27" s="66" t="str">
        <f t="shared" si="1"/>
        <v>{방음·방진·내진 설비}</v>
      </c>
    </row>
    <row r="28" spans="1:5" ht="49.5" customHeight="1">
      <c r="A28" s="321" t="s">
        <v>51</v>
      </c>
      <c r="B28" s="321"/>
      <c r="C28" s="321"/>
      <c r="D28" s="321"/>
      <c r="E28" s="321"/>
    </row>
    <row r="29" spans="1:5" ht="18.75" customHeight="1">
      <c r="B29" s="10"/>
    </row>
    <row r="30" spans="1:5">
      <c r="B30" s="10"/>
    </row>
    <row r="31" spans="1:5">
      <c r="B31" s="10"/>
    </row>
    <row r="32" spans="1:5">
      <c r="B32" s="10"/>
    </row>
    <row r="33" spans="2:2">
      <c r="B33" s="10"/>
    </row>
    <row r="34" spans="2:2">
      <c r="B34" s="10"/>
    </row>
  </sheetData>
  <mergeCells count="16">
    <mergeCell ref="A18:A19"/>
    <mergeCell ref="A27:B27"/>
    <mergeCell ref="A2:B2"/>
    <mergeCell ref="A28:E28"/>
    <mergeCell ref="A20:B20"/>
    <mergeCell ref="A21:A22"/>
    <mergeCell ref="A23:B23"/>
    <mergeCell ref="A24:B24"/>
    <mergeCell ref="A25:B25"/>
    <mergeCell ref="A26:B26"/>
    <mergeCell ref="D17:D27"/>
    <mergeCell ref="A1:E1"/>
    <mergeCell ref="A3:A12"/>
    <mergeCell ref="A13:A14"/>
    <mergeCell ref="A15:A16"/>
    <mergeCell ref="A17:B17"/>
  </mergeCells>
  <phoneticPr fontId="2" type="noConversion"/>
  <printOptions horizontalCentered="1"/>
  <pageMargins left="0.70866141732283472" right="0.70866141732283472" top="0.74803149606299213" bottom="0.35433070866141736" header="0.31496062992125984" footer="0.31496062992125984"/>
  <pageSetup paperSize="9"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F37"/>
  <sheetViews>
    <sheetView view="pageBreakPreview" topLeftCell="A2" zoomScale="85" zoomScaleNormal="100" zoomScaleSheetLayoutView="85" workbookViewId="0">
      <selection activeCell="C29" sqref="C5:C29"/>
    </sheetView>
  </sheetViews>
  <sheetFormatPr defaultRowHeight="13.5"/>
  <cols>
    <col min="1" max="1" width="18.6640625" style="11" customWidth="1"/>
    <col min="2" max="2" width="17.44140625" style="11" customWidth="1"/>
    <col min="3" max="3" width="12.6640625" style="11" customWidth="1"/>
    <col min="4" max="6" width="11.77734375" style="11" customWidth="1"/>
    <col min="7" max="16384" width="8.88671875" style="11"/>
  </cols>
  <sheetData>
    <row r="1" spans="1:6" ht="29.25" customHeight="1" thickBot="1">
      <c r="A1" s="324" t="s">
        <v>20</v>
      </c>
      <c r="B1" s="324"/>
      <c r="C1" s="324"/>
      <c r="D1" s="324"/>
      <c r="E1" s="324"/>
      <c r="F1" s="324"/>
    </row>
    <row r="2" spans="1:6" ht="24" customHeight="1" thickTop="1" thickBot="1">
      <c r="A2" s="319" t="s">
        <v>48</v>
      </c>
      <c r="B2" s="320"/>
      <c r="C2" s="80" t="s">
        <v>50</v>
      </c>
      <c r="D2" s="80" t="s">
        <v>52</v>
      </c>
      <c r="E2" s="80" t="s">
        <v>53</v>
      </c>
      <c r="F2" s="81" t="s">
        <v>54</v>
      </c>
    </row>
    <row r="3" spans="1:6" ht="21.95" customHeight="1" thickTop="1">
      <c r="A3" s="316" t="s">
        <v>55</v>
      </c>
      <c r="B3" s="325"/>
      <c r="C3" s="77">
        <v>1</v>
      </c>
      <c r="D3" s="78">
        <f>C3*3.58</f>
        <v>3.58</v>
      </c>
      <c r="E3" s="78" t="s">
        <v>88</v>
      </c>
      <c r="F3" s="79" t="s">
        <v>88</v>
      </c>
    </row>
    <row r="4" spans="1:6" ht="21.95" customHeight="1">
      <c r="A4" s="317" t="s">
        <v>56</v>
      </c>
      <c r="B4" s="318"/>
      <c r="C4" s="64">
        <v>1</v>
      </c>
      <c r="D4" s="65">
        <f>C4*3.58</f>
        <v>3.58</v>
      </c>
      <c r="E4" s="65" t="s">
        <v>88</v>
      </c>
      <c r="F4" s="66" t="s">
        <v>88</v>
      </c>
    </row>
    <row r="5" spans="1:6" ht="21.95" customHeight="1">
      <c r="A5" s="317" t="s">
        <v>37</v>
      </c>
      <c r="B5" s="65" t="s">
        <v>21</v>
      </c>
      <c r="C5" s="65">
        <v>1</v>
      </c>
      <c r="D5" s="67">
        <f>C5*0.13</f>
        <v>0.13</v>
      </c>
      <c r="E5" s="67">
        <f>C5*0.28</f>
        <v>0.28000000000000003</v>
      </c>
      <c r="F5" s="68">
        <f>C5*0.16</f>
        <v>0.16</v>
      </c>
    </row>
    <row r="6" spans="1:6" ht="21.95" customHeight="1">
      <c r="A6" s="317"/>
      <c r="B6" s="65" t="s">
        <v>22</v>
      </c>
      <c r="C6" s="65">
        <v>1</v>
      </c>
      <c r="D6" s="67">
        <f>C6*0.1</f>
        <v>0.1</v>
      </c>
      <c r="E6" s="67">
        <f>C6*0.25</f>
        <v>0.25</v>
      </c>
      <c r="F6" s="68">
        <f>C6*0.17</f>
        <v>0.17</v>
      </c>
    </row>
    <row r="7" spans="1:6" ht="21.95" customHeight="1">
      <c r="A7" s="317"/>
      <c r="B7" s="65" t="s">
        <v>86</v>
      </c>
      <c r="C7" s="65">
        <f>수량산출기준!E5</f>
        <v>0</v>
      </c>
      <c r="D7" s="67">
        <f>C7*0.1</f>
        <v>0</v>
      </c>
      <c r="E7" s="67">
        <f>C7*0.27</f>
        <v>0</v>
      </c>
      <c r="F7" s="68">
        <f>C7*0.17</f>
        <v>0</v>
      </c>
    </row>
    <row r="8" spans="1:6" ht="21.95" customHeight="1">
      <c r="A8" s="317"/>
      <c r="B8" s="65" t="s">
        <v>23</v>
      </c>
      <c r="C8" s="65">
        <v>0</v>
      </c>
      <c r="D8" s="67">
        <f>C8*0.1</f>
        <v>0</v>
      </c>
      <c r="E8" s="67">
        <f>C8*0.28</f>
        <v>0</v>
      </c>
      <c r="F8" s="68">
        <f>C8*0.19</f>
        <v>0</v>
      </c>
    </row>
    <row r="9" spans="1:6" ht="21.95" customHeight="1">
      <c r="A9" s="317"/>
      <c r="B9" s="65" t="s">
        <v>24</v>
      </c>
      <c r="C9" s="65">
        <v>1</v>
      </c>
      <c r="D9" s="67">
        <f>C9*0.04</f>
        <v>0.04</v>
      </c>
      <c r="E9" s="67">
        <f>C9*0.16</f>
        <v>0.16</v>
      </c>
      <c r="F9" s="68">
        <f>C9*0.11</f>
        <v>0.11</v>
      </c>
    </row>
    <row r="10" spans="1:6" ht="21.95" customHeight="1">
      <c r="A10" s="317"/>
      <c r="B10" s="65" t="s">
        <v>25</v>
      </c>
      <c r="C10" s="65">
        <v>3</v>
      </c>
      <c r="D10" s="67">
        <f>C10*0.02</f>
        <v>0.06</v>
      </c>
      <c r="E10" s="67">
        <f>C10*0.16</f>
        <v>0.48</v>
      </c>
      <c r="F10" s="68">
        <f>C10*0.07</f>
        <v>0.21000000000000002</v>
      </c>
    </row>
    <row r="11" spans="1:6" ht="21.95" customHeight="1">
      <c r="A11" s="317"/>
      <c r="B11" s="65" t="s">
        <v>46</v>
      </c>
      <c r="C11" s="65">
        <v>2</v>
      </c>
      <c r="D11" s="67">
        <f>C11*0.1</f>
        <v>0.2</v>
      </c>
      <c r="E11" s="67">
        <f>C11*0.21</f>
        <v>0.42</v>
      </c>
      <c r="F11" s="68">
        <f>C11*0.13</f>
        <v>0.26</v>
      </c>
    </row>
    <row r="12" spans="1:6" ht="21.95" customHeight="1">
      <c r="A12" s="317"/>
      <c r="B12" s="65" t="s">
        <v>47</v>
      </c>
      <c r="C12" s="65">
        <v>0</v>
      </c>
      <c r="D12" s="67">
        <f>C12*0.09</f>
        <v>0</v>
      </c>
      <c r="E12" s="67">
        <f>C12*0.23</f>
        <v>0</v>
      </c>
      <c r="F12" s="68">
        <f>C12*0.09</f>
        <v>0</v>
      </c>
    </row>
    <row r="13" spans="1:6" ht="21.95" customHeight="1">
      <c r="A13" s="317"/>
      <c r="B13" s="65" t="s">
        <v>26</v>
      </c>
      <c r="C13" s="65">
        <v>0</v>
      </c>
      <c r="D13" s="67">
        <f>C13*0.04</f>
        <v>0</v>
      </c>
      <c r="E13" s="67">
        <f>C13*0.11</f>
        <v>0</v>
      </c>
      <c r="F13" s="68">
        <f>C13*0.17</f>
        <v>0</v>
      </c>
    </row>
    <row r="14" spans="1:6" ht="21.95" customHeight="1">
      <c r="A14" s="317"/>
      <c r="B14" s="65" t="s">
        <v>27</v>
      </c>
      <c r="C14" s="65">
        <v>0</v>
      </c>
      <c r="D14" s="67">
        <f>C14*0.08</f>
        <v>0</v>
      </c>
      <c r="E14" s="67">
        <f>C14*0.16</f>
        <v>0</v>
      </c>
      <c r="F14" s="68">
        <f>C14*0.18</f>
        <v>0</v>
      </c>
    </row>
    <row r="15" spans="1:6" ht="21.95" customHeight="1">
      <c r="A15" s="317" t="s">
        <v>38</v>
      </c>
      <c r="B15" s="65" t="s">
        <v>28</v>
      </c>
      <c r="C15" s="65">
        <v>0</v>
      </c>
      <c r="D15" s="67">
        <f>C15*0.04</f>
        <v>0</v>
      </c>
      <c r="E15" s="67">
        <f>C15*0.18</f>
        <v>0</v>
      </c>
      <c r="F15" s="68">
        <f>C15*0.11</f>
        <v>0</v>
      </c>
    </row>
    <row r="16" spans="1:6" ht="21.95" customHeight="1">
      <c r="A16" s="317"/>
      <c r="B16" s="65" t="s">
        <v>29</v>
      </c>
      <c r="C16" s="65">
        <v>10</v>
      </c>
      <c r="D16" s="67">
        <f>C16*0.04</f>
        <v>0.4</v>
      </c>
      <c r="E16" s="67">
        <f>C16*0.11</f>
        <v>1.1000000000000001</v>
      </c>
      <c r="F16" s="68">
        <f>C16*0.13</f>
        <v>1.3</v>
      </c>
    </row>
    <row r="17" spans="1:6" ht="21.95" customHeight="1">
      <c r="A17" s="317" t="s">
        <v>30</v>
      </c>
      <c r="B17" s="65" t="s">
        <v>30</v>
      </c>
      <c r="C17" s="65">
        <v>4</v>
      </c>
      <c r="D17" s="67">
        <f>C17*0.04</f>
        <v>0.16</v>
      </c>
      <c r="E17" s="67">
        <f>C17*0.11</f>
        <v>0.44</v>
      </c>
      <c r="F17" s="68">
        <f>C17*0.13</f>
        <v>0.52</v>
      </c>
    </row>
    <row r="18" spans="1:6" ht="21.95" customHeight="1">
      <c r="A18" s="317"/>
      <c r="B18" s="65" t="s">
        <v>31</v>
      </c>
      <c r="C18" s="65">
        <v>0</v>
      </c>
      <c r="D18" s="67">
        <f>C18*0.04</f>
        <v>0</v>
      </c>
      <c r="E18" s="67">
        <f>C18*0.1</f>
        <v>0</v>
      </c>
      <c r="F18" s="68">
        <f>C18*0.1</f>
        <v>0</v>
      </c>
    </row>
    <row r="19" spans="1:6" ht="21.95" customHeight="1">
      <c r="A19" s="317" t="s">
        <v>32</v>
      </c>
      <c r="B19" s="318"/>
      <c r="C19" s="65">
        <v>1</v>
      </c>
      <c r="D19" s="69">
        <f>C19*0.04</f>
        <v>0.04</v>
      </c>
      <c r="E19" s="69">
        <f>C19*0.35</f>
        <v>0.35</v>
      </c>
      <c r="F19" s="70">
        <f>C19*0.2</f>
        <v>0.2</v>
      </c>
    </row>
    <row r="20" spans="1:6" ht="21.95" customHeight="1">
      <c r="A20" s="317" t="s">
        <v>39</v>
      </c>
      <c r="B20" s="65" t="s">
        <v>87</v>
      </c>
      <c r="C20" s="65">
        <v>1</v>
      </c>
      <c r="D20" s="69">
        <f t="shared" ref="D20:D29" si="0">C20*0.04</f>
        <v>0.04</v>
      </c>
      <c r="E20" s="69">
        <f>C20*0.23</f>
        <v>0.23</v>
      </c>
      <c r="F20" s="70">
        <f>C20*0.1</f>
        <v>0.1</v>
      </c>
    </row>
    <row r="21" spans="1:6" ht="21.95" customHeight="1">
      <c r="A21" s="317"/>
      <c r="B21" s="65" t="s">
        <v>33</v>
      </c>
      <c r="C21" s="65">
        <v>1</v>
      </c>
      <c r="D21" s="69">
        <f t="shared" si="0"/>
        <v>0.04</v>
      </c>
      <c r="E21" s="69">
        <f>C21*0.21</f>
        <v>0.21</v>
      </c>
      <c r="F21" s="70">
        <f>C21*0.13</f>
        <v>0.13</v>
      </c>
    </row>
    <row r="22" spans="1:6" ht="21.95" customHeight="1">
      <c r="A22" s="317" t="s">
        <v>40</v>
      </c>
      <c r="B22" s="318"/>
      <c r="C22" s="65">
        <v>1</v>
      </c>
      <c r="D22" s="69">
        <f t="shared" si="0"/>
        <v>0.04</v>
      </c>
      <c r="E22" s="69">
        <f>C22*0.29</f>
        <v>0.28999999999999998</v>
      </c>
      <c r="F22" s="70">
        <f>C22*0.17</f>
        <v>0.17</v>
      </c>
    </row>
    <row r="23" spans="1:6" ht="21.95" customHeight="1">
      <c r="A23" s="322" t="s">
        <v>41</v>
      </c>
      <c r="B23" s="65" t="s">
        <v>34</v>
      </c>
      <c r="C23" s="65">
        <v>0</v>
      </c>
      <c r="D23" s="69">
        <f t="shared" si="0"/>
        <v>0</v>
      </c>
      <c r="E23" s="69">
        <f>C23*0.29</f>
        <v>0</v>
      </c>
      <c r="F23" s="70">
        <f>C23*0.17</f>
        <v>0</v>
      </c>
    </row>
    <row r="24" spans="1:6" ht="21.95" customHeight="1">
      <c r="A24" s="317"/>
      <c r="B24" s="65" t="s">
        <v>35</v>
      </c>
      <c r="C24" s="65">
        <v>0</v>
      </c>
      <c r="D24" s="69">
        <f t="shared" si="0"/>
        <v>0</v>
      </c>
      <c r="E24" s="69">
        <f>C24*0.29</f>
        <v>0</v>
      </c>
      <c r="F24" s="70">
        <f>C24*0.17</f>
        <v>0</v>
      </c>
    </row>
    <row r="25" spans="1:6" ht="21.95" customHeight="1">
      <c r="A25" s="317" t="s">
        <v>42</v>
      </c>
      <c r="B25" s="318"/>
      <c r="C25" s="65">
        <v>1</v>
      </c>
      <c r="D25" s="69">
        <f t="shared" si="0"/>
        <v>0.04</v>
      </c>
      <c r="E25" s="69">
        <f>C25*1.13</f>
        <v>1.1299999999999999</v>
      </c>
      <c r="F25" s="70">
        <f>C25*1.25</f>
        <v>1.25</v>
      </c>
    </row>
    <row r="26" spans="1:6" ht="21.95" customHeight="1">
      <c r="A26" s="317" t="s">
        <v>43</v>
      </c>
      <c r="B26" s="318"/>
      <c r="C26" s="65">
        <v>1</v>
      </c>
      <c r="D26" s="69">
        <f t="shared" si="0"/>
        <v>0.04</v>
      </c>
      <c r="E26" s="69">
        <f>C26*0.52</f>
        <v>0.52</v>
      </c>
      <c r="F26" s="70">
        <f>C26*0.4</f>
        <v>0.4</v>
      </c>
    </row>
    <row r="27" spans="1:6" ht="21.95" customHeight="1">
      <c r="A27" s="317" t="s">
        <v>44</v>
      </c>
      <c r="B27" s="318"/>
      <c r="C27" s="65">
        <v>1</v>
      </c>
      <c r="D27" s="69">
        <f t="shared" si="0"/>
        <v>0.04</v>
      </c>
      <c r="E27" s="69">
        <f>C27*0.96</f>
        <v>0.96</v>
      </c>
      <c r="F27" s="70">
        <f>C27*1</f>
        <v>1</v>
      </c>
    </row>
    <row r="28" spans="1:6" ht="21.95" customHeight="1">
      <c r="A28" s="317" t="s">
        <v>36</v>
      </c>
      <c r="B28" s="318"/>
      <c r="C28" s="65">
        <v>1</v>
      </c>
      <c r="D28" s="69">
        <f>C28*0.1</f>
        <v>0.1</v>
      </c>
      <c r="E28" s="69">
        <f>C28*0.75</f>
        <v>0.75</v>
      </c>
      <c r="F28" s="70">
        <f>C28*0.5</f>
        <v>0.5</v>
      </c>
    </row>
    <row r="29" spans="1:6" ht="21.95" customHeight="1">
      <c r="A29" s="317" t="s">
        <v>45</v>
      </c>
      <c r="B29" s="318"/>
      <c r="C29" s="65">
        <v>1</v>
      </c>
      <c r="D29" s="69">
        <f t="shared" si="0"/>
        <v>0.04</v>
      </c>
      <c r="E29" s="69">
        <f>C29*0.47</f>
        <v>0.47</v>
      </c>
      <c r="F29" s="70">
        <f>C29*0.42</f>
        <v>0.42</v>
      </c>
    </row>
    <row r="30" spans="1:6" ht="21.95" customHeight="1">
      <c r="A30" s="317" t="s">
        <v>57</v>
      </c>
      <c r="B30" s="318"/>
      <c r="C30" s="65">
        <v>1</v>
      </c>
      <c r="D30" s="69">
        <f>C30*0.42</f>
        <v>0.42</v>
      </c>
      <c r="E30" s="69">
        <f>C30*2.46</f>
        <v>2.46</v>
      </c>
      <c r="F30" s="70">
        <f>C30*2.71</f>
        <v>2.71</v>
      </c>
    </row>
    <row r="31" spans="1:6" ht="21.95" customHeight="1">
      <c r="A31" s="317" t="s">
        <v>58</v>
      </c>
      <c r="B31" s="318"/>
      <c r="C31" s="65"/>
      <c r="D31" s="65">
        <f>SUM(D19:D30)</f>
        <v>0.84</v>
      </c>
      <c r="E31" s="65">
        <f>SUM(E19:E30)</f>
        <v>7.3699999999999992</v>
      </c>
      <c r="F31" s="66">
        <f>SUM(F19:F30)</f>
        <v>6.88</v>
      </c>
    </row>
    <row r="32" spans="1:6" ht="21.95" customHeight="1">
      <c r="A32" s="317" t="s">
        <v>59</v>
      </c>
      <c r="B32" s="318"/>
      <c r="C32" s="65"/>
      <c r="D32" s="65">
        <f>SUM(D5:D18)</f>
        <v>1.0900000000000001</v>
      </c>
      <c r="E32" s="65">
        <f>SUM(E5:E18)</f>
        <v>3.13</v>
      </c>
      <c r="F32" s="66">
        <f>SUM(F5:F18)</f>
        <v>2.73</v>
      </c>
    </row>
    <row r="33" spans="1:6" ht="21.95" customHeight="1">
      <c r="A33" s="331" t="s">
        <v>60</v>
      </c>
      <c r="B33" s="332"/>
      <c r="C33" s="74"/>
      <c r="D33" s="74">
        <f>ROUNDDOWN(SUM(D31:D32,D3:D4),0)</f>
        <v>9</v>
      </c>
      <c r="E33" s="74">
        <f>ROUNDDOWN(SUM(E31:E32,E3:E4),0)</f>
        <v>10</v>
      </c>
      <c r="F33" s="74">
        <f>ROUNDDOWN(SUM(F31:F32,F3:F4),0)</f>
        <v>9</v>
      </c>
    </row>
    <row r="34" spans="1:6" ht="25.5" customHeight="1">
      <c r="A34" s="326" t="s">
        <v>158</v>
      </c>
      <c r="B34" s="71" t="s">
        <v>155</v>
      </c>
      <c r="C34" s="71" t="s">
        <v>154</v>
      </c>
      <c r="D34" s="72">
        <v>401407</v>
      </c>
      <c r="E34" s="72">
        <v>335379</v>
      </c>
      <c r="F34" s="73">
        <v>300463</v>
      </c>
    </row>
    <row r="35" spans="1:6" ht="25.5" customHeight="1">
      <c r="A35" s="327"/>
      <c r="B35" s="75" t="s">
        <v>156</v>
      </c>
      <c r="C35" s="75" t="s">
        <v>154</v>
      </c>
      <c r="D35" s="76">
        <f>ROUNDDOWN(D34*D33,-4)</f>
        <v>3610000</v>
      </c>
      <c r="E35" s="76">
        <f>ROUNDDOWN(E34*E33,-4)</f>
        <v>3350000</v>
      </c>
      <c r="F35" s="76">
        <f>ROUNDDOWN(F34*F33,-4)</f>
        <v>2700000</v>
      </c>
    </row>
    <row r="36" spans="1:6" ht="25.5" customHeight="1" thickBot="1">
      <c r="A36" s="328"/>
      <c r="B36" s="85" t="s">
        <v>170</v>
      </c>
      <c r="C36" s="86" t="s">
        <v>154</v>
      </c>
      <c r="D36" s="329">
        <f>SUM(D35:F35)</f>
        <v>9660000</v>
      </c>
      <c r="E36" s="330"/>
      <c r="F36" s="330"/>
    </row>
    <row r="37" spans="1:6" ht="14.25" thickTop="1"/>
  </sheetData>
  <mergeCells count="22">
    <mergeCell ref="A34:A36"/>
    <mergeCell ref="D36:F36"/>
    <mergeCell ref="A33:B33"/>
    <mergeCell ref="A28:B28"/>
    <mergeCell ref="A29:B29"/>
    <mergeCell ref="A32:B32"/>
    <mergeCell ref="A31:B31"/>
    <mergeCell ref="A25:B25"/>
    <mergeCell ref="A26:B26"/>
    <mergeCell ref="A30:B30"/>
    <mergeCell ref="A19:B19"/>
    <mergeCell ref="A20:A21"/>
    <mergeCell ref="A22:B22"/>
    <mergeCell ref="A27:B27"/>
    <mergeCell ref="A1:F1"/>
    <mergeCell ref="A3:B3"/>
    <mergeCell ref="A4:B4"/>
    <mergeCell ref="A23:A24"/>
    <mergeCell ref="A2:B2"/>
    <mergeCell ref="A5:A14"/>
    <mergeCell ref="A15:A16"/>
    <mergeCell ref="A17:A18"/>
  </mergeCells>
  <phoneticPr fontId="2" type="noConversion"/>
  <printOptions horizontalCentered="1"/>
  <pageMargins left="0.59055118110236227" right="0.47244094488188981" top="0.74803149606299213" bottom="0.55118110236220474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F9"/>
  <sheetViews>
    <sheetView showGridLines="0" workbookViewId="0">
      <selection activeCell="C31" sqref="C31"/>
    </sheetView>
  </sheetViews>
  <sheetFormatPr defaultRowHeight="13.5"/>
  <cols>
    <col min="1" max="1" width="16.88671875" customWidth="1"/>
    <col min="3" max="3" width="16.88671875" customWidth="1"/>
    <col min="4" max="4" width="7.21875" customWidth="1"/>
    <col min="5" max="5" width="16.88671875" customWidth="1"/>
  </cols>
  <sheetData>
    <row r="1" spans="1:6" ht="24" customHeight="1">
      <c r="A1" s="333" t="s">
        <v>61</v>
      </c>
      <c r="B1" s="333"/>
      <c r="C1" s="333"/>
      <c r="D1" s="333"/>
      <c r="E1" s="333"/>
      <c r="F1" s="333"/>
    </row>
    <row r="2" spans="1:6" ht="27" customHeight="1">
      <c r="A2" s="334" t="s">
        <v>62</v>
      </c>
      <c r="B2" s="335"/>
      <c r="C2" s="334" t="s">
        <v>63</v>
      </c>
      <c r="D2" s="335"/>
      <c r="E2" s="334" t="s">
        <v>64</v>
      </c>
      <c r="F2" s="335"/>
    </row>
    <row r="3" spans="1:6" ht="27" customHeight="1">
      <c r="A3" s="3" t="s">
        <v>65</v>
      </c>
      <c r="B3" s="3" t="s">
        <v>66</v>
      </c>
      <c r="C3" s="3" t="s">
        <v>67</v>
      </c>
      <c r="D3" s="3" t="s">
        <v>66</v>
      </c>
      <c r="E3" s="3" t="s">
        <v>68</v>
      </c>
      <c r="F3" s="3" t="s">
        <v>66</v>
      </c>
    </row>
    <row r="4" spans="1:6" ht="27" customHeight="1">
      <c r="A4" s="7" t="s">
        <v>69</v>
      </c>
      <c r="B4" s="6">
        <v>1</v>
      </c>
      <c r="C4" s="8" t="s">
        <v>74</v>
      </c>
      <c r="D4" s="6">
        <v>1</v>
      </c>
      <c r="E4" s="5" t="s">
        <v>79</v>
      </c>
      <c r="F4" s="6">
        <v>1</v>
      </c>
    </row>
    <row r="5" spans="1:6" ht="27" customHeight="1">
      <c r="A5" s="4" t="s">
        <v>70</v>
      </c>
      <c r="B5" s="2">
        <v>1.1000000000000001</v>
      </c>
      <c r="C5" s="5" t="s">
        <v>76</v>
      </c>
      <c r="D5" s="6">
        <v>1.1000000000000001</v>
      </c>
      <c r="E5" s="5" t="s">
        <v>80</v>
      </c>
      <c r="F5" s="6">
        <v>1.05</v>
      </c>
    </row>
    <row r="6" spans="1:6" ht="27" customHeight="1">
      <c r="A6" s="7" t="s">
        <v>71</v>
      </c>
      <c r="B6" s="6">
        <v>1.4</v>
      </c>
      <c r="C6" s="5" t="s">
        <v>75</v>
      </c>
      <c r="D6" s="6">
        <v>1.2</v>
      </c>
      <c r="E6" s="5" t="s">
        <v>81</v>
      </c>
      <c r="F6" s="6">
        <v>1.0900000000000001</v>
      </c>
    </row>
    <row r="7" spans="1:6" ht="27" customHeight="1">
      <c r="A7" s="7" t="s">
        <v>72</v>
      </c>
      <c r="B7" s="6">
        <v>1.8</v>
      </c>
      <c r="C7" s="5" t="s">
        <v>77</v>
      </c>
      <c r="D7" s="6">
        <v>1.3</v>
      </c>
      <c r="E7" s="5" t="s">
        <v>82</v>
      </c>
      <c r="F7" s="6">
        <v>1.1399999999999999</v>
      </c>
    </row>
    <row r="8" spans="1:6" ht="27" customHeight="1">
      <c r="A8" s="336" t="s">
        <v>73</v>
      </c>
      <c r="B8" s="338">
        <v>2</v>
      </c>
      <c r="C8" s="336" t="s">
        <v>78</v>
      </c>
      <c r="D8" s="338">
        <v>1.4</v>
      </c>
      <c r="E8" s="1" t="s">
        <v>83</v>
      </c>
      <c r="F8" s="2">
        <v>1.18</v>
      </c>
    </row>
    <row r="9" spans="1:6" ht="27" customHeight="1">
      <c r="A9" s="337"/>
      <c r="B9" s="339"/>
      <c r="C9" s="337"/>
      <c r="D9" s="339"/>
      <c r="E9" s="3" t="s">
        <v>84</v>
      </c>
      <c r="F9" s="9">
        <v>1.2</v>
      </c>
    </row>
  </sheetData>
  <mergeCells count="8">
    <mergeCell ref="A1:F1"/>
    <mergeCell ref="A2:B2"/>
    <mergeCell ref="C2:D2"/>
    <mergeCell ref="E2:F2"/>
    <mergeCell ref="A8:A9"/>
    <mergeCell ref="B8:B9"/>
    <mergeCell ref="C8:C9"/>
    <mergeCell ref="D8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견적서</vt:lpstr>
      <vt:lpstr>산출내역</vt:lpstr>
      <vt:lpstr>수량산출기준</vt:lpstr>
      <vt:lpstr>수량조정계수</vt:lpstr>
      <vt:lpstr>조정계수표</vt:lpstr>
      <vt:lpstr>산출내역!Print_Area</vt:lpstr>
      <vt:lpstr>수량산출기준!Print_Area</vt:lpstr>
      <vt:lpstr>수량조정계수!Print_Area</vt:lpstr>
      <vt:lpstr>조정계수표!Print_Area</vt:lpstr>
    </vt:vector>
  </TitlesOfParts>
  <Company>s/b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Master</cp:lastModifiedBy>
  <cp:lastPrinted>2026-03-24T01:23:56Z</cp:lastPrinted>
  <dcterms:created xsi:type="dcterms:W3CDTF">1999-08-28T01:02:59Z</dcterms:created>
  <dcterms:modified xsi:type="dcterms:W3CDTF">2026-03-31T08:20:04Z</dcterms:modified>
</cp:coreProperties>
</file>